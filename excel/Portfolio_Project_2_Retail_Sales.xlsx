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aran\Documents\Codex\2026-09-04\referenced-chatgpt-conversation-this-is-an\outputs\project-1-retail-sales\"/>
    </mc:Choice>
  </mc:AlternateContent>
  <xr:revisionPtr revIDLastSave="0" documentId="13_ncr:1_{2274FD22-0A6E-4C8C-AA3E-5602E295A8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 Here" sheetId="2" r:id="rId1"/>
    <sheet name="Raw Data" sheetId="3" r:id="rId2"/>
    <sheet name="Analysis" sheetId="4" r:id="rId3"/>
    <sheet name="Dashboard" sheetId="5" r:id="rId4"/>
    <sheet name="Data Dictionary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H5" i="5"/>
  <c r="E5" i="5"/>
  <c r="B5" i="5"/>
  <c r="D17" i="4"/>
  <c r="D16" i="4"/>
  <c r="D15" i="4"/>
  <c r="D14" i="4"/>
  <c r="D13" i="4"/>
  <c r="D12" i="4"/>
  <c r="D11" i="4"/>
  <c r="D10" i="4"/>
  <c r="D9" i="4"/>
  <c r="D8" i="4"/>
  <c r="D7" i="4"/>
  <c r="D6" i="4"/>
</calcChain>
</file>

<file path=xl/sharedStrings.xml><?xml version="1.0" encoding="utf-8"?>
<sst xmlns="http://schemas.openxmlformats.org/spreadsheetml/2006/main" count="8499" uniqueCount="1285">
  <si>
    <t>Retail Sales Portfolio Project</t>
  </si>
  <si>
    <t>Northstar Retail Ltd. Guided Excel project using 900 fictional transaction lines from 2024 to 2025.</t>
  </si>
  <si>
    <t>Project brief</t>
  </si>
  <si>
    <t>Colour guide</t>
  </si>
  <si>
    <t>Company</t>
  </si>
  <si>
    <t>Northstar Retail Ltd. (fictional UK retailer)</t>
  </si>
  <si>
    <t>Yellow</t>
  </si>
  <si>
    <t>You enter or link a result</t>
  </si>
  <si>
    <t>Dataset</t>
  </si>
  <si>
    <t>900 product-level transaction lines across 650 orders</t>
  </si>
  <si>
    <t>Green</t>
  </si>
  <si>
    <t>Section or table header</t>
  </si>
  <si>
    <t>Your role</t>
  </si>
  <si>
    <t>Junior data analyst supporting commercial and operations teams</t>
  </si>
  <si>
    <t>White</t>
  </si>
  <si>
    <t>Source data or workspace</t>
  </si>
  <si>
    <t>Objective</t>
  </si>
  <si>
    <t>Find sales trends, compare performance and build a clear management dashboard</t>
  </si>
  <si>
    <t>Raw Data rules</t>
  </si>
  <si>
    <t>Business questions</t>
  </si>
  <si>
    <t>Keep the header names unchanged.</t>
  </si>
  <si>
    <t>Which regions and cities generate the most revenue?</t>
  </si>
  <si>
    <t>Do not insert blank rows or totals inside the table.</t>
  </si>
  <si>
    <t>Which products and categories contribute the most profit?</t>
  </si>
  <si>
    <t>Each row is one product line. An Order ID may repeat.</t>
  </si>
  <si>
    <t>How do sales change by month and year?</t>
  </si>
  <si>
    <t>Use filters to explore; clear filters when finished.</t>
  </si>
  <si>
    <t>Which customers generate the highest sales?</t>
  </si>
  <si>
    <t>The data is fictional and contains no real customer details.</t>
  </si>
  <si>
    <t>How do Online, Retail Store, Marketplace and Phone channels compare?</t>
  </si>
  <si>
    <t>Where are low-profit or loss-making transaction lines occurring?</t>
  </si>
  <si>
    <t>Portfolio outputs</t>
  </si>
  <si>
    <t>Clean Excel workbook</t>
  </si>
  <si>
    <t>Build path</t>
  </si>
  <si>
    <t>Completed analysis sheet</t>
  </si>
  <si>
    <t>Step</t>
  </si>
  <si>
    <t>Skill</t>
  </si>
  <si>
    <t>Workbook area</t>
  </si>
  <si>
    <t>Status</t>
  </si>
  <si>
    <t>Four-chart dashboard</t>
  </si>
  <si>
    <t>Inspect and understand the data</t>
  </si>
  <si>
    <t>Raw Data</t>
  </si>
  <si>
    <t>Three to five findings</t>
  </si>
  <si>
    <t>Calculate core metrics</t>
  </si>
  <si>
    <t>Analysis</t>
  </si>
  <si>
    <t>Not started</t>
  </si>
  <si>
    <t>Two business recommendations</t>
  </si>
  <si>
    <t>Build PivotTables</t>
  </si>
  <si>
    <t>Dashboard screenshot and project README</t>
  </si>
  <si>
    <t>Identify useful findings</t>
  </si>
  <si>
    <t>Build the dashboard</t>
  </si>
  <si>
    <t>Dashboard</t>
  </si>
  <si>
    <t>Write business recommendations</t>
  </si>
  <si>
    <t>Export dashboard screenshots</t>
  </si>
  <si>
    <t>Publish the portfolio project</t>
  </si>
  <si>
    <t>GitHub / portfolio</t>
  </si>
  <si>
    <t>Order ID</t>
  </si>
  <si>
    <t>Order Date</t>
  </si>
  <si>
    <t>Customer ID</t>
  </si>
  <si>
    <t>Customer Name</t>
  </si>
  <si>
    <t>City</t>
  </si>
  <si>
    <t>Region</t>
  </si>
  <si>
    <t>Product</t>
  </si>
  <si>
    <t>Category</t>
  </si>
  <si>
    <t>Quantity</t>
  </si>
  <si>
    <t>Unit Price</t>
  </si>
  <si>
    <t>Revenue</t>
  </si>
  <si>
    <t>Cost</t>
  </si>
  <si>
    <t>Profit</t>
  </si>
  <si>
    <t>Payment Method</t>
  </si>
  <si>
    <t>Sales Channel</t>
  </si>
  <si>
    <t>ORD-2024-0001</t>
  </si>
  <si>
    <t>CUST-0028</t>
  </si>
  <si>
    <t>Amelia Roberts</t>
  </si>
  <si>
    <t>London</t>
  </si>
  <si>
    <t>Foam Roller</t>
  </si>
  <si>
    <t>Fitness</t>
  </si>
  <si>
    <t>PayPal</t>
  </si>
  <si>
    <t>Online</t>
  </si>
  <si>
    <t>ORD-2024-0002</t>
  </si>
  <si>
    <t>CUST-0005</t>
  </si>
  <si>
    <t>Olivia Singh</t>
  </si>
  <si>
    <t>Liverpool</t>
  </si>
  <si>
    <t>North West</t>
  </si>
  <si>
    <t>Gel Pen Set</t>
  </si>
  <si>
    <t>Office</t>
  </si>
  <si>
    <t>Debit Card</t>
  </si>
  <si>
    <t>ORD-2024-0003</t>
  </si>
  <si>
    <t>CUST-0153</t>
  </si>
  <si>
    <t>Jessica Green</t>
  </si>
  <si>
    <t>Leeds</t>
  </si>
  <si>
    <t>Yorkshire</t>
  </si>
  <si>
    <t>Hiking Backpack 30L</t>
  </si>
  <si>
    <t>Outdoor</t>
  </si>
  <si>
    <t>ORD-2024-0004</t>
  </si>
  <si>
    <t>CUST-0002</t>
  </si>
  <si>
    <t>Amelia Edwards</t>
  </si>
  <si>
    <t>Sheffield</t>
  </si>
  <si>
    <t>LED Desk Lamp</t>
  </si>
  <si>
    <t>Home &amp; Kitchen</t>
  </si>
  <si>
    <t>Gift Card</t>
  </si>
  <si>
    <t>ORD-2024-0005</t>
  </si>
  <si>
    <t>CUST-0010</t>
  </si>
  <si>
    <t>Charlotte Martin</t>
  </si>
  <si>
    <t>Brighton</t>
  </si>
  <si>
    <t>South East</t>
  </si>
  <si>
    <t>Filter Coffee Maker</t>
  </si>
  <si>
    <t>ORD-2024-0006</t>
  </si>
  <si>
    <t>CUST-0047</t>
  </si>
  <si>
    <t>Alice Phillips</t>
  </si>
  <si>
    <t>Notebook Set</t>
  </si>
  <si>
    <t>Apple Pay</t>
  </si>
  <si>
    <t>Retail Store</t>
  </si>
  <si>
    <t>ORD-2024-0007</t>
  </si>
  <si>
    <t>CUST-0057</t>
  </si>
  <si>
    <t>Mohammed Walker</t>
  </si>
  <si>
    <t>Insulated Sports Bottle</t>
  </si>
  <si>
    <t>Credit Card</t>
  </si>
  <si>
    <t>Marketplace</t>
  </si>
  <si>
    <t>ORD-2024-0008</t>
  </si>
  <si>
    <t>CUST-0069</t>
  </si>
  <si>
    <t>Lucas Foster</t>
  </si>
  <si>
    <t>ORD-2024-0009</t>
  </si>
  <si>
    <t>CUST-0169</t>
  </si>
  <si>
    <t>Eleanor Hughes</t>
  </si>
  <si>
    <t>Belfast</t>
  </si>
  <si>
    <t>Northern Ireland</t>
  </si>
  <si>
    <t>Wireless Mouse</t>
  </si>
  <si>
    <t>Electronics</t>
  </si>
  <si>
    <t>ORD-2024-0010</t>
  </si>
  <si>
    <t>CUST-0011</t>
  </si>
  <si>
    <t>Thomas Ahmed</t>
  </si>
  <si>
    <t>Air Fryer</t>
  </si>
  <si>
    <t>ORD-2024-0011</t>
  </si>
  <si>
    <t>CUST-0032</t>
  </si>
  <si>
    <t>Jessica Evans</t>
  </si>
  <si>
    <t>Birmingham</t>
  </si>
  <si>
    <t>Midlands</t>
  </si>
  <si>
    <t>Electric Kettle</t>
  </si>
  <si>
    <t>Mechanical Keyboard</t>
  </si>
  <si>
    <t>ORD-2024-0012</t>
  </si>
  <si>
    <t>CUST-0034</t>
  </si>
  <si>
    <t>Emily Edwards</t>
  </si>
  <si>
    <t>Portable SSD 1TB</t>
  </si>
  <si>
    <t>ORD-2024-0013</t>
  </si>
  <si>
    <t>CUST-0035</t>
  </si>
  <si>
    <t>Oscar Collins</t>
  </si>
  <si>
    <t>ORD-2024-0014</t>
  </si>
  <si>
    <t>CUST-0071</t>
  </si>
  <si>
    <t>Daniel Baker</t>
  </si>
  <si>
    <t>Southampton</t>
  </si>
  <si>
    <t>Resistance Band Set</t>
  </si>
  <si>
    <t>ORD-2024-0015</t>
  </si>
  <si>
    <t>CUST-0027</t>
  </si>
  <si>
    <t>Joseph King</t>
  </si>
  <si>
    <t>Waterproof Picnic Blanket</t>
  </si>
  <si>
    <t>ORD-2024-0016</t>
  </si>
  <si>
    <t>Stainless Steel Travel Mug</t>
  </si>
  <si>
    <t>ORD-2024-0017</t>
  </si>
  <si>
    <t>CUST-0175</t>
  </si>
  <si>
    <t>Lily Collins</t>
  </si>
  <si>
    <t>ORD-2024-0018</t>
  </si>
  <si>
    <t>CUST-0017</t>
  </si>
  <si>
    <t>Emily Singh</t>
  </si>
  <si>
    <t>Glasgow</t>
  </si>
  <si>
    <t>Scotland</t>
  </si>
  <si>
    <t>ORD-2024-0019</t>
  </si>
  <si>
    <t>CUST-0029</t>
  </si>
  <si>
    <t>Alice Campbell</t>
  </si>
  <si>
    <t>Bristol</t>
  </si>
  <si>
    <t>South West</t>
  </si>
  <si>
    <t>ORD-2024-0020</t>
  </si>
  <si>
    <t>CUST-0130</t>
  </si>
  <si>
    <t>Priya Smith</t>
  </si>
  <si>
    <t>Cardiff</t>
  </si>
  <si>
    <t>Wales</t>
  </si>
  <si>
    <t>ORD-2024-0021</t>
  </si>
  <si>
    <t>CUST-0013</t>
  </si>
  <si>
    <t>Lucas Roberts</t>
  </si>
  <si>
    <t>Laptop Stand</t>
  </si>
  <si>
    <t>ORD-2024-0022</t>
  </si>
  <si>
    <t>CUST-0123</t>
  </si>
  <si>
    <t>Harry Thomas</t>
  </si>
  <si>
    <t>Nottingham</t>
  </si>
  <si>
    <t>Cordless Vacuum</t>
  </si>
  <si>
    <t>ORD-2024-0023</t>
  </si>
  <si>
    <t>CUST-0001</t>
  </si>
  <si>
    <t>Imogen Roberts</t>
  </si>
  <si>
    <t>Adjustable Dumbbell Set</t>
  </si>
  <si>
    <t>Garden Tool Set</t>
  </si>
  <si>
    <t>ORD-2024-0024</t>
  </si>
  <si>
    <t>CUST-0107</t>
  </si>
  <si>
    <t>Thomas King</t>
  </si>
  <si>
    <t>Newcastle</t>
  </si>
  <si>
    <t>North East</t>
  </si>
  <si>
    <t>Noise-Cancelling Headphones</t>
  </si>
  <si>
    <t>ORD-2024-0025</t>
  </si>
  <si>
    <t>CUST-0161</t>
  </si>
  <si>
    <t>Joseph Patel</t>
  </si>
  <si>
    <t>ORD-2024-0026</t>
  </si>
  <si>
    <t>CUST-0152</t>
  </si>
  <si>
    <t>Zoe Lewis</t>
  </si>
  <si>
    <t>Printer Paper Pack</t>
  </si>
  <si>
    <t>ORD-2024-0027</t>
  </si>
  <si>
    <t>CUST-0008</t>
  </si>
  <si>
    <t>William Walker</t>
  </si>
  <si>
    <t>ORD-2024-0028</t>
  </si>
  <si>
    <t>Two-Drawer Filing Cabinet</t>
  </si>
  <si>
    <t>ORD-2024-0029</t>
  </si>
  <si>
    <t>ORD-2024-0030</t>
  </si>
  <si>
    <t>CUST-0118</t>
  </si>
  <si>
    <t>Olivia Foster</t>
  </si>
  <si>
    <t>Manchester</t>
  </si>
  <si>
    <t>Camping Lantern</t>
  </si>
  <si>
    <t>ORD-2024-0031</t>
  </si>
  <si>
    <t>CUST-0144</t>
  </si>
  <si>
    <t>Amelia Shah</t>
  </si>
  <si>
    <t>ORD-2024-0032</t>
  </si>
  <si>
    <t>CUST-0131</t>
  </si>
  <si>
    <t>Hannah Morgan</t>
  </si>
  <si>
    <t>ORD-2024-0033</t>
  </si>
  <si>
    <t>CUST-0173</t>
  </si>
  <si>
    <t>James Evans</t>
  </si>
  <si>
    <t>ORD-2024-0034</t>
  </si>
  <si>
    <t>CUST-0015</t>
  </si>
  <si>
    <t>Jessica Miller</t>
  </si>
  <si>
    <t>Adjustable Monitor Arm</t>
  </si>
  <si>
    <t>ORD-2024-0035</t>
  </si>
  <si>
    <t>CUST-0044</t>
  </si>
  <si>
    <t>Lily Lewis</t>
  </si>
  <si>
    <t>USB-C Hub</t>
  </si>
  <si>
    <t>ORD-2024-0036</t>
  </si>
  <si>
    <t>ORD-2024-0037</t>
  </si>
  <si>
    <t>Phone</t>
  </si>
  <si>
    <t>ORD-2024-0038</t>
  </si>
  <si>
    <t>CUST-0108</t>
  </si>
  <si>
    <t>David Patel</t>
  </si>
  <si>
    <t>Norwich</t>
  </si>
  <si>
    <t>East</t>
  </si>
  <si>
    <t>ORD-2024-0039</t>
  </si>
  <si>
    <t>ORD-2024-0040</t>
  </si>
  <si>
    <t>CUST-0163</t>
  </si>
  <si>
    <t>Fatima Cooper</t>
  </si>
  <si>
    <t>Edinburgh</t>
  </si>
  <si>
    <t>ORD-2024-0041</t>
  </si>
  <si>
    <t>CUST-0009</t>
  </si>
  <si>
    <t>Maya Wilson</t>
  </si>
  <si>
    <t>ORD-2024-0042</t>
  </si>
  <si>
    <t>CUST-0178</t>
  </si>
  <si>
    <t>Amelia Martin</t>
  </si>
  <si>
    <t>ORD-2024-0043</t>
  </si>
  <si>
    <t>CUST-0120</t>
  </si>
  <si>
    <t>Noah Wilson</t>
  </si>
  <si>
    <t>ORD-2024-0044</t>
  </si>
  <si>
    <t>CUST-0160</t>
  </si>
  <si>
    <t>Grace Thomas</t>
  </si>
  <si>
    <t>ORD-2024-0045</t>
  </si>
  <si>
    <t>CUST-0020</t>
  </si>
  <si>
    <t>Samuel Martin</t>
  </si>
  <si>
    <t>Ergonomic Desk Chair</t>
  </si>
  <si>
    <t>ORD-2024-0046</t>
  </si>
  <si>
    <t>CUST-0031</t>
  </si>
  <si>
    <t>James Khan</t>
  </si>
  <si>
    <t>ORD-2024-0047</t>
  </si>
  <si>
    <t>CUST-0077</t>
  </si>
  <si>
    <t>Samuel Miller</t>
  </si>
  <si>
    <t>ORD-2024-0048</t>
  </si>
  <si>
    <t>CUST-0012</t>
  </si>
  <si>
    <t>Leo Robinson</t>
  </si>
  <si>
    <t>ORD-2024-0049</t>
  </si>
  <si>
    <t>CUST-0033</t>
  </si>
  <si>
    <t>Joseph Smith</t>
  </si>
  <si>
    <t>ORD-2024-0050</t>
  </si>
  <si>
    <t>CUST-0063</t>
  </si>
  <si>
    <t>Daniel Hughes</t>
  </si>
  <si>
    <t>ORD-2024-0051</t>
  </si>
  <si>
    <t>CUST-0037</t>
  </si>
  <si>
    <t>George Campbell</t>
  </si>
  <si>
    <t>ORD-2024-0052</t>
  </si>
  <si>
    <t>Bank Transfer</t>
  </si>
  <si>
    <t>ORD-2024-0053</t>
  </si>
  <si>
    <t>ORD-2024-0054</t>
  </si>
  <si>
    <t>CUST-0003</t>
  </si>
  <si>
    <t>Imogen Morris</t>
  </si>
  <si>
    <t>ORD-2024-0055</t>
  </si>
  <si>
    <t>CUST-0117</t>
  </si>
  <si>
    <t>Priya Patel</t>
  </si>
  <si>
    <t>ORD-2024-0056</t>
  </si>
  <si>
    <t>CUST-0164</t>
  </si>
  <si>
    <t>Layla Lewis</t>
  </si>
  <si>
    <t>ORD-2024-0057</t>
  </si>
  <si>
    <t>CUST-0064</t>
  </si>
  <si>
    <t>Mohammed Robinson</t>
  </si>
  <si>
    <t>Cookware Set</t>
  </si>
  <si>
    <t>ORD-2024-0058</t>
  </si>
  <si>
    <t>ORD-2024-0059</t>
  </si>
  <si>
    <t>CUST-0014</t>
  </si>
  <si>
    <t>Samuel Edwards</t>
  </si>
  <si>
    <t>ORD-2024-0060</t>
  </si>
  <si>
    <t>CUST-0023</t>
  </si>
  <si>
    <t>Emily Davies</t>
  </si>
  <si>
    <t>ORD-2024-0061</t>
  </si>
  <si>
    <t>ORD-2024-0062</t>
  </si>
  <si>
    <t>ORD-2024-0063</t>
  </si>
  <si>
    <t>CUST-0102</t>
  </si>
  <si>
    <t>Alice Brown</t>
  </si>
  <si>
    <t>Yoga Mat</t>
  </si>
  <si>
    <t>ORD-2024-0064</t>
  </si>
  <si>
    <t>ORD-2024-0065</t>
  </si>
  <si>
    <t>CUST-0172</t>
  </si>
  <si>
    <t>Freddie King</t>
  </si>
  <si>
    <t>ORD-2024-0066</t>
  </si>
  <si>
    <t>ORD-2024-0067</t>
  </si>
  <si>
    <t>CUST-0054</t>
  </si>
  <si>
    <t>Charlotte Johnson</t>
  </si>
  <si>
    <t>Cash</t>
  </si>
  <si>
    <t>ORD-2024-0068</t>
  </si>
  <si>
    <t>ORD-2024-0069</t>
  </si>
  <si>
    <t>ORD-2024-0070</t>
  </si>
  <si>
    <t>Bluetooth Speaker</t>
  </si>
  <si>
    <t>ORD-2024-0071</t>
  </si>
  <si>
    <t>ORD-2024-0072</t>
  </si>
  <si>
    <t>Full HD Webcam</t>
  </si>
  <si>
    <t>ORD-2024-0073</t>
  </si>
  <si>
    <t>CUST-0093</t>
  </si>
  <si>
    <t>Ruby Harris</t>
  </si>
  <si>
    <t>ORD-2024-0074</t>
  </si>
  <si>
    <t>ORD-2024-0075</t>
  </si>
  <si>
    <t>CUST-0049</t>
  </si>
  <si>
    <t>Charlotte Phillips</t>
  </si>
  <si>
    <t>Cambridge</t>
  </si>
  <si>
    <t>ORD-2024-0076</t>
  </si>
  <si>
    <t>CUST-0127</t>
  </si>
  <si>
    <t>George Thomas</t>
  </si>
  <si>
    <t>ORD-2024-0077</t>
  </si>
  <si>
    <t>CUST-0155</t>
  </si>
  <si>
    <t>Maya Smith</t>
  </si>
  <si>
    <t>ORD-2024-0078</t>
  </si>
  <si>
    <t>CUST-0021</t>
  </si>
  <si>
    <t>Daniel Cooper</t>
  </si>
  <si>
    <t>ORD-2024-0079</t>
  </si>
  <si>
    <t>CUST-0158</t>
  </si>
  <si>
    <t>Jack Bennett</t>
  </si>
  <si>
    <t>ORD-2024-0080</t>
  </si>
  <si>
    <t>CUST-0092</t>
  </si>
  <si>
    <t>Ethan Smith</t>
  </si>
  <si>
    <t>ORD-2024-0081</t>
  </si>
  <si>
    <t>CUST-0039</t>
  </si>
  <si>
    <t>Oscar Lewis</t>
  </si>
  <si>
    <t>ORD-2024-0082</t>
  </si>
  <si>
    <t>CUST-0141</t>
  </si>
  <si>
    <t>Oscar Khan</t>
  </si>
  <si>
    <t>ORD-2024-0083</t>
  </si>
  <si>
    <t>CUST-0043</t>
  </si>
  <si>
    <t>Zoe Taylor</t>
  </si>
  <si>
    <t>ORD-2024-0084</t>
  </si>
  <si>
    <t>CUST-0100</t>
  </si>
  <si>
    <t>Aisha Clark</t>
  </si>
  <si>
    <t>ORD-2024-0085</t>
  </si>
  <si>
    <t>CUST-0075</t>
  </si>
  <si>
    <t>Sofia Robinson</t>
  </si>
  <si>
    <t>ORD-2024-0086</t>
  </si>
  <si>
    <t>CUST-0076</t>
  </si>
  <si>
    <t>Fatima Bennett</t>
  </si>
  <si>
    <t>ORD-2024-0087</t>
  </si>
  <si>
    <t>CUST-0113</t>
  </si>
  <si>
    <t>Priya Martin</t>
  </si>
  <si>
    <t>ORD-2024-0088</t>
  </si>
  <si>
    <t>ORD-2024-0089</t>
  </si>
  <si>
    <t>ORD-2024-0090</t>
  </si>
  <si>
    <t>CUST-0036</t>
  </si>
  <si>
    <t>William Khan</t>
  </si>
  <si>
    <t>ORD-2024-0091</t>
  </si>
  <si>
    <t>CUST-0004</t>
  </si>
  <si>
    <t>Olivia Carter</t>
  </si>
  <si>
    <t>ORD-2024-0092</t>
  </si>
  <si>
    <t>CUST-0088</t>
  </si>
  <si>
    <t>Ethan Patel</t>
  </si>
  <si>
    <t>ORD-2024-0093</t>
  </si>
  <si>
    <t>ORD-2024-0094</t>
  </si>
  <si>
    <t>CUST-0006</t>
  </si>
  <si>
    <t>Mohammed Mitchell</t>
  </si>
  <si>
    <t>ORD-2024-0095</t>
  </si>
  <si>
    <t>ORD-2024-0096</t>
  </si>
  <si>
    <t>ORD-2024-0097</t>
  </si>
  <si>
    <t>CUST-0095</t>
  </si>
  <si>
    <t>Freddie Clark</t>
  </si>
  <si>
    <t>ORD-2024-0098</t>
  </si>
  <si>
    <t>ORD-2024-0099</t>
  </si>
  <si>
    <t>CUST-0145</t>
  </si>
  <si>
    <t>Ethan Campbell</t>
  </si>
  <si>
    <t>Exeter</t>
  </si>
  <si>
    <t>ORD-2024-0100</t>
  </si>
  <si>
    <t>ORD-2024-0101</t>
  </si>
  <si>
    <t>ORD-2024-0102</t>
  </si>
  <si>
    <t>ORD-2024-0103</t>
  </si>
  <si>
    <t>ORD-2024-0104</t>
  </si>
  <si>
    <t>CUST-0129</t>
  </si>
  <si>
    <t>Mohammed Khan</t>
  </si>
  <si>
    <t>ORD-2024-0105</t>
  </si>
  <si>
    <t>ORD-2024-0106</t>
  </si>
  <si>
    <t>ORD-2024-0107</t>
  </si>
  <si>
    <t>CUST-0065</t>
  </si>
  <si>
    <t>Layla Thomas</t>
  </si>
  <si>
    <t>ORD-2024-0108</t>
  </si>
  <si>
    <t>ORD-2024-0109</t>
  </si>
  <si>
    <t>ORD-2024-0110</t>
  </si>
  <si>
    <t>CUST-0030</t>
  </si>
  <si>
    <t>Eleanor Morris</t>
  </si>
  <si>
    <t>ORD-2024-0111</t>
  </si>
  <si>
    <t>ORD-2024-0112</t>
  </si>
  <si>
    <t>ORD-2024-0113</t>
  </si>
  <si>
    <t>CUST-0150</t>
  </si>
  <si>
    <t>Zoe Harris</t>
  </si>
  <si>
    <t>ORD-2024-0114</t>
  </si>
  <si>
    <t>ORD-2024-0115</t>
  </si>
  <si>
    <t>ORD-2024-0116</t>
  </si>
  <si>
    <t>CUST-0041</t>
  </si>
  <si>
    <t>Emily Thomas</t>
  </si>
  <si>
    <t>ORD-2024-0117</t>
  </si>
  <si>
    <t>CUST-0087</t>
  </si>
  <si>
    <t>Olivia Clark</t>
  </si>
  <si>
    <t>ORD-2024-0118</t>
  </si>
  <si>
    <t>CUST-0080</t>
  </si>
  <si>
    <t>Mohammed Taylor</t>
  </si>
  <si>
    <t>ORD-2024-0119</t>
  </si>
  <si>
    <t>CUST-0025</t>
  </si>
  <si>
    <t>Imogen Carter</t>
  </si>
  <si>
    <t>ORD-2024-0120</t>
  </si>
  <si>
    <t>ORD-2024-0121</t>
  </si>
  <si>
    <t>ORD-2024-0122</t>
  </si>
  <si>
    <t>ORD-2024-0123</t>
  </si>
  <si>
    <t>CUST-0086</t>
  </si>
  <si>
    <t>Aisha Hall</t>
  </si>
  <si>
    <t>ORD-2024-0124</t>
  </si>
  <si>
    <t>ORD-2024-0125</t>
  </si>
  <si>
    <t>ORD-2024-0126</t>
  </si>
  <si>
    <t>ORD-2024-0127</t>
  </si>
  <si>
    <t>CUST-0114</t>
  </si>
  <si>
    <t>Chloe Green</t>
  </si>
  <si>
    <t>ORD-2024-0128</t>
  </si>
  <si>
    <t>ORD-2024-0129</t>
  </si>
  <si>
    <t>CUST-0138</t>
  </si>
  <si>
    <t>Lucas Khan</t>
  </si>
  <si>
    <t>ORD-2024-0130</t>
  </si>
  <si>
    <t>ORD-2024-0131</t>
  </si>
  <si>
    <t>CUST-0142</t>
  </si>
  <si>
    <t>Oliver Scott</t>
  </si>
  <si>
    <t>ORD-2024-0132</t>
  </si>
  <si>
    <t>ORD-2024-0133</t>
  </si>
  <si>
    <t>CUST-0136</t>
  </si>
  <si>
    <t>Sofia Taylor</t>
  </si>
  <si>
    <t>ORD-2024-0134</t>
  </si>
  <si>
    <t>CUST-0070</t>
  </si>
  <si>
    <t>Ethan King</t>
  </si>
  <si>
    <t>ORD-2024-0135</t>
  </si>
  <si>
    <t>ORD-2024-0136</t>
  </si>
  <si>
    <t>CUST-0124</t>
  </si>
  <si>
    <t>Freddie Scott</t>
  </si>
  <si>
    <t>ORD-2024-0137</t>
  </si>
  <si>
    <t>ORD-2024-0138</t>
  </si>
  <si>
    <t>ORD-2024-0139</t>
  </si>
  <si>
    <t>CUST-0048</t>
  </si>
  <si>
    <t>Maya Green</t>
  </si>
  <si>
    <t>ORD-2024-0140</t>
  </si>
  <si>
    <t>ORD-2024-0141</t>
  </si>
  <si>
    <t>ORD-2024-0142</t>
  </si>
  <si>
    <t>CUST-0018</t>
  </si>
  <si>
    <t>Noah Mitchell</t>
  </si>
  <si>
    <t>ORD-2024-0143</t>
  </si>
  <si>
    <t>ORD-2024-0144</t>
  </si>
  <si>
    <t>ORD-2024-0145</t>
  </si>
  <si>
    <t>ORD-2024-0146</t>
  </si>
  <si>
    <t>ORD-2024-0147</t>
  </si>
  <si>
    <t>ORD-2024-0148</t>
  </si>
  <si>
    <t>ORD-2024-0149</t>
  </si>
  <si>
    <t>ORD-2024-0150</t>
  </si>
  <si>
    <t>ORD-2024-0151</t>
  </si>
  <si>
    <t>ORD-2024-0152</t>
  </si>
  <si>
    <t>CUST-0116</t>
  </si>
  <si>
    <t>Fatima Hall</t>
  </si>
  <si>
    <t>ORD-2024-0153</t>
  </si>
  <si>
    <t>ORD-2024-0154</t>
  </si>
  <si>
    <t>ORD-2024-0155</t>
  </si>
  <si>
    <t>CUST-0151</t>
  </si>
  <si>
    <t>Chloe Smith</t>
  </si>
  <si>
    <t>ORD-2024-0156</t>
  </si>
  <si>
    <t>ORD-2024-0157</t>
  </si>
  <si>
    <t>ORD-2024-0158</t>
  </si>
  <si>
    <t>ORD-2024-0159</t>
  </si>
  <si>
    <t>ORD-2024-0160</t>
  </si>
  <si>
    <t>ORD-2024-0161</t>
  </si>
  <si>
    <t>CUST-0174</t>
  </si>
  <si>
    <t>Amelia Morris</t>
  </si>
  <si>
    <t>ORD-2024-0162</t>
  </si>
  <si>
    <t>ORD-2024-0163</t>
  </si>
  <si>
    <t>ORD-2024-0164</t>
  </si>
  <si>
    <t>ORD-2024-0165</t>
  </si>
  <si>
    <t>ORD-2024-0166</t>
  </si>
  <si>
    <t>ORD-2024-0167</t>
  </si>
  <si>
    <t>CUST-0179</t>
  </si>
  <si>
    <t>Aisha Evans</t>
  </si>
  <si>
    <t>ORD-2024-0168</t>
  </si>
  <si>
    <t>ORD-2024-0169</t>
  </si>
  <si>
    <t>ORD-2024-0170</t>
  </si>
  <si>
    <t>CUST-0046</t>
  </si>
  <si>
    <t>Imogen Green</t>
  </si>
  <si>
    <t>ORD-2024-0171</t>
  </si>
  <si>
    <t>CUST-0081</t>
  </si>
  <si>
    <t>James Foster</t>
  </si>
  <si>
    <t>ORD-2024-0172</t>
  </si>
  <si>
    <t>ORD-2024-0173</t>
  </si>
  <si>
    <t>CUST-0042</t>
  </si>
  <si>
    <t>Samuel Roberts</t>
  </si>
  <si>
    <t>ORD-2024-0174</t>
  </si>
  <si>
    <t>CUST-0122</t>
  </si>
  <si>
    <t>Charlotte Edwards</t>
  </si>
  <si>
    <t>ORD-2024-0175</t>
  </si>
  <si>
    <t>ORD-2024-0176</t>
  </si>
  <si>
    <t>ORD-2024-0177</t>
  </si>
  <si>
    <t>ORD-2024-0178</t>
  </si>
  <si>
    <t>CUST-0170</t>
  </si>
  <si>
    <t>Leo Cooper</t>
  </si>
  <si>
    <t>ORD-2024-0179</t>
  </si>
  <si>
    <t>ORD-2024-0180</t>
  </si>
  <si>
    <t>CUST-0078</t>
  </si>
  <si>
    <t>Grace Scott</t>
  </si>
  <si>
    <t>ORD-2024-0181</t>
  </si>
  <si>
    <t>ORD-2024-0182</t>
  </si>
  <si>
    <t>ORD-2024-0183</t>
  </si>
  <si>
    <t>ORD-2024-0184</t>
  </si>
  <si>
    <t>ORD-2024-0185</t>
  </si>
  <si>
    <t>ORD-2024-0186</t>
  </si>
  <si>
    <t>ORD-2024-0187</t>
  </si>
  <si>
    <t>ORD-2024-0188</t>
  </si>
  <si>
    <t>ORD-2024-0189</t>
  </si>
  <si>
    <t>CUST-0099</t>
  </si>
  <si>
    <t>William Green</t>
  </si>
  <si>
    <t>ORD-2024-0190</t>
  </si>
  <si>
    <t>CUST-0016</t>
  </si>
  <si>
    <t>Alice Patel</t>
  </si>
  <si>
    <t>ORD-2024-0191</t>
  </si>
  <si>
    <t>ORD-2024-0192</t>
  </si>
  <si>
    <t>ORD-2024-0193</t>
  </si>
  <si>
    <t>ORD-2024-0194</t>
  </si>
  <si>
    <t>ORD-2024-0195</t>
  </si>
  <si>
    <t>ORD-2024-0196</t>
  </si>
  <si>
    <t>ORD-2024-0197</t>
  </si>
  <si>
    <t>ORD-2024-0198</t>
  </si>
  <si>
    <t>ORD-2024-0199</t>
  </si>
  <si>
    <t>ORD-2024-0200</t>
  </si>
  <si>
    <t>CUST-0103</t>
  </si>
  <si>
    <t>Zoe Phillips</t>
  </si>
  <si>
    <t>ORD-2024-0201</t>
  </si>
  <si>
    <t>CUST-0146</t>
  </si>
  <si>
    <t>Joseph Clark</t>
  </si>
  <si>
    <t>ORD-2024-0202</t>
  </si>
  <si>
    <t>CUST-0085</t>
  </si>
  <si>
    <t>Daniel Robinson</t>
  </si>
  <si>
    <t>ORD-2024-0203</t>
  </si>
  <si>
    <t>CUST-0157</t>
  </si>
  <si>
    <t>Maya Mitchell</t>
  </si>
  <si>
    <t>ORD-2024-0204</t>
  </si>
  <si>
    <t>CUST-0007</t>
  </si>
  <si>
    <t>Zara Singh</t>
  </si>
  <si>
    <t>ORD-2024-0205</t>
  </si>
  <si>
    <t>ORD-2024-0206</t>
  </si>
  <si>
    <t>ORD-2024-0207</t>
  </si>
  <si>
    <t>ORD-2024-0208</t>
  </si>
  <si>
    <t>ORD-2024-0209</t>
  </si>
  <si>
    <t>ORD-2024-0210</t>
  </si>
  <si>
    <t>CUST-0110</t>
  </si>
  <si>
    <t>Jack Ahmed</t>
  </si>
  <si>
    <t>ORD-2024-0211</t>
  </si>
  <si>
    <t>CUST-0156</t>
  </si>
  <si>
    <t>Lucas Wilson</t>
  </si>
  <si>
    <t>ORD-2024-0212</t>
  </si>
  <si>
    <t>ORD-2024-0213</t>
  </si>
  <si>
    <t>ORD-2024-0214</t>
  </si>
  <si>
    <t>CUST-0058</t>
  </si>
  <si>
    <t>Isaac Carter</t>
  </si>
  <si>
    <t>ORD-2024-0215</t>
  </si>
  <si>
    <t>ORD-2024-0216</t>
  </si>
  <si>
    <t>ORD-2024-0217</t>
  </si>
  <si>
    <t>ORD-2024-0218</t>
  </si>
  <si>
    <t>ORD-2024-0219</t>
  </si>
  <si>
    <t>ORD-2024-0220</t>
  </si>
  <si>
    <t>ORD-2024-0221</t>
  </si>
  <si>
    <t>ORD-2024-0222</t>
  </si>
  <si>
    <t>ORD-2024-0223</t>
  </si>
  <si>
    <t>ORD-2024-0224</t>
  </si>
  <si>
    <t>ORD-2024-0225</t>
  </si>
  <si>
    <t>ORD-2024-0226</t>
  </si>
  <si>
    <t>CUST-0148</t>
  </si>
  <si>
    <t>Mohammed Hall</t>
  </si>
  <si>
    <t>ORD-2024-0227</t>
  </si>
  <si>
    <t>CUST-0040</t>
  </si>
  <si>
    <t>Ethan Hall</t>
  </si>
  <si>
    <t>ORD-2024-0228</t>
  </si>
  <si>
    <t>CUST-0051</t>
  </si>
  <si>
    <t>Jack Johnson</t>
  </si>
  <si>
    <t>ORD-2024-0229</t>
  </si>
  <si>
    <t>ORD-2024-0230</t>
  </si>
  <si>
    <t>ORD-2024-0231</t>
  </si>
  <si>
    <t>ORD-2024-0232</t>
  </si>
  <si>
    <t>ORD-2024-0233</t>
  </si>
  <si>
    <t>ORD-2024-0234</t>
  </si>
  <si>
    <t>ORD-2024-0235</t>
  </si>
  <si>
    <t>ORD-2024-0236</t>
  </si>
  <si>
    <t>ORD-2024-0237</t>
  </si>
  <si>
    <t>ORD-2024-0238</t>
  </si>
  <si>
    <t>ORD-2024-0239</t>
  </si>
  <si>
    <t>ORD-2024-0240</t>
  </si>
  <si>
    <t>ORD-2024-0241</t>
  </si>
  <si>
    <t>CUST-0180</t>
  </si>
  <si>
    <t>Daniel Green</t>
  </si>
  <si>
    <t>ORD-2024-0242</t>
  </si>
  <si>
    <t>ORD-2024-0243</t>
  </si>
  <si>
    <t>ORD-2024-0244</t>
  </si>
  <si>
    <t>ORD-2024-0245</t>
  </si>
  <si>
    <t>ORD-2024-0246</t>
  </si>
  <si>
    <t>ORD-2024-0247</t>
  </si>
  <si>
    <t>ORD-2024-0248</t>
  </si>
  <si>
    <t>CUST-0082</t>
  </si>
  <si>
    <t>Emily Taylor</t>
  </si>
  <si>
    <t>ORD-2024-0249</t>
  </si>
  <si>
    <t>CUST-0019</t>
  </si>
  <si>
    <t>Eleanor Bennett</t>
  </si>
  <si>
    <t>ORD-2024-0250</t>
  </si>
  <si>
    <t>ORD-2024-0251</t>
  </si>
  <si>
    <t>ORD-2024-0252</t>
  </si>
  <si>
    <t>ORD-2024-0253</t>
  </si>
  <si>
    <t>ORD-2024-0254</t>
  </si>
  <si>
    <t>CUST-0162</t>
  </si>
  <si>
    <t>Thomas Miller</t>
  </si>
  <si>
    <t>ORD-2024-0255</t>
  </si>
  <si>
    <t>ORD-2024-0256</t>
  </si>
  <si>
    <t>CUST-0073</t>
  </si>
  <si>
    <t>Olivia Wilson</t>
  </si>
  <si>
    <t>ORD-2024-0257</t>
  </si>
  <si>
    <t>CUST-0098</t>
  </si>
  <si>
    <t>Isaac Shah</t>
  </si>
  <si>
    <t>ORD-2024-0258</t>
  </si>
  <si>
    <t>ORD-2024-0259</t>
  </si>
  <si>
    <t>ORD-2024-0260</t>
  </si>
  <si>
    <t>ORD-2024-0261</t>
  </si>
  <si>
    <t>ORD-2024-0262</t>
  </si>
  <si>
    <t>ORD-2024-0263</t>
  </si>
  <si>
    <t>ORD-2024-0264</t>
  </si>
  <si>
    <t>ORD-2024-0265</t>
  </si>
  <si>
    <t>ORD-2024-0266</t>
  </si>
  <si>
    <t>ORD-2024-0267</t>
  </si>
  <si>
    <t>ORD-2024-0268</t>
  </si>
  <si>
    <t>CUST-0060</t>
  </si>
  <si>
    <t>Zoe Johnson</t>
  </si>
  <si>
    <t>ORD-2024-0269</t>
  </si>
  <si>
    <t>ORD-2024-0270</t>
  </si>
  <si>
    <t>ORD-2024-0271</t>
  </si>
  <si>
    <t>CUST-0119</t>
  </si>
  <si>
    <t>Ethan Phillips</t>
  </si>
  <si>
    <t>ORD-2024-0272</t>
  </si>
  <si>
    <t>ORD-2024-0273</t>
  </si>
  <si>
    <t>ORD-2024-0274</t>
  </si>
  <si>
    <t>CUST-0097</t>
  </si>
  <si>
    <t>Chloe Johnson</t>
  </si>
  <si>
    <t>ORD-2024-0275</t>
  </si>
  <si>
    <t>ORD-2024-0276</t>
  </si>
  <si>
    <t>ORD-2024-0277</t>
  </si>
  <si>
    <t>ORD-2024-0278</t>
  </si>
  <si>
    <t>CUST-0132</t>
  </si>
  <si>
    <t>Isaac Roberts</t>
  </si>
  <si>
    <t>ORD-2024-0279</t>
  </si>
  <si>
    <t>ORD-2024-0280</t>
  </si>
  <si>
    <t>ORD-2024-0281</t>
  </si>
  <si>
    <t>ORD-2024-0282</t>
  </si>
  <si>
    <t>ORD-2024-0283</t>
  </si>
  <si>
    <t>ORD-2024-0284</t>
  </si>
  <si>
    <t>CUST-0128</t>
  </si>
  <si>
    <t>Daniel Miller</t>
  </si>
  <si>
    <t>ORD-2024-0285</t>
  </si>
  <si>
    <t>ORD-2024-0286</t>
  </si>
  <si>
    <t>ORD-2024-0287</t>
  </si>
  <si>
    <t>ORD-2024-0288</t>
  </si>
  <si>
    <t>CUST-0139</t>
  </si>
  <si>
    <t>Grace Harris</t>
  </si>
  <si>
    <t>ORD-2024-0289</t>
  </si>
  <si>
    <t>ORD-2024-0290</t>
  </si>
  <si>
    <t>CUST-0055</t>
  </si>
  <si>
    <t>Emily Khan</t>
  </si>
  <si>
    <t>ORD-2024-0291</t>
  </si>
  <si>
    <t>ORD-2024-0292</t>
  </si>
  <si>
    <t>CUST-0045</t>
  </si>
  <si>
    <t>Harry Evans</t>
  </si>
  <si>
    <t>ORD-2024-0293</t>
  </si>
  <si>
    <t>CUST-0171</t>
  </si>
  <si>
    <t>Layla Hughes</t>
  </si>
  <si>
    <t>ORD-2024-0294</t>
  </si>
  <si>
    <t>ORD-2024-0295</t>
  </si>
  <si>
    <t>ORD-2024-0296</t>
  </si>
  <si>
    <t>ORD-2024-0297</t>
  </si>
  <si>
    <t>CUST-0059</t>
  </si>
  <si>
    <t>Eleanor Lewis</t>
  </si>
  <si>
    <t>ORD-2024-0298</t>
  </si>
  <si>
    <t>ORD-2024-0299</t>
  </si>
  <si>
    <t>ORD-2024-0300</t>
  </si>
  <si>
    <t>ORD-2024-0301</t>
  </si>
  <si>
    <t>ORD-2024-0302</t>
  </si>
  <si>
    <t>ORD-2024-0303</t>
  </si>
  <si>
    <t>ORD-2024-0304</t>
  </si>
  <si>
    <t>ORD-2024-0305</t>
  </si>
  <si>
    <t>ORD-2024-0306</t>
  </si>
  <si>
    <t>CUST-0079</t>
  </si>
  <si>
    <t>Oliver Morgan</t>
  </si>
  <si>
    <t>ORD-2024-0307</t>
  </si>
  <si>
    <t>ORD-2024-0308</t>
  </si>
  <si>
    <t>ORD-2024-0309</t>
  </si>
  <si>
    <t>ORD-2024-0310</t>
  </si>
  <si>
    <t>ORD-2024-0311</t>
  </si>
  <si>
    <t>CUST-0090</t>
  </si>
  <si>
    <t>Lily Wilson</t>
  </si>
  <si>
    <t>ORD-2024-0312</t>
  </si>
  <si>
    <t>ORD-2024-0313</t>
  </si>
  <si>
    <t>ORD-2024-0314</t>
  </si>
  <si>
    <t>ORD-2024-0315</t>
  </si>
  <si>
    <t>ORD-2024-0316</t>
  </si>
  <si>
    <t>CUST-0056</t>
  </si>
  <si>
    <t>Maya Taylor</t>
  </si>
  <si>
    <t>ORD-2024-0317</t>
  </si>
  <si>
    <t>ORD-2024-0318</t>
  </si>
  <si>
    <t>CUST-0089</t>
  </si>
  <si>
    <t>Priya Baker</t>
  </si>
  <si>
    <t>ORD-2024-0319</t>
  </si>
  <si>
    <t>CUST-0106</t>
  </si>
  <si>
    <t>Lily Edwards</t>
  </si>
  <si>
    <t>ORD-2024-0320</t>
  </si>
  <si>
    <t>ORD-2024-0321</t>
  </si>
  <si>
    <t>ORD-2024-0322</t>
  </si>
  <si>
    <t>ORD-2024-0323</t>
  </si>
  <si>
    <t>ORD-2024-0324</t>
  </si>
  <si>
    <t>CUST-0072</t>
  </si>
  <si>
    <t>Amelia Lewis</t>
  </si>
  <si>
    <t>ORD-2024-0325</t>
  </si>
  <si>
    <t>CUST-0091</t>
  </si>
  <si>
    <t>Sofia Martin</t>
  </si>
  <si>
    <t>ORD-2024-0326</t>
  </si>
  <si>
    <t>ORD-2024-0327</t>
  </si>
  <si>
    <t>ORD-2024-0328</t>
  </si>
  <si>
    <t>ORD-2024-0329</t>
  </si>
  <si>
    <t>ORD-2024-0330</t>
  </si>
  <si>
    <t>ORD-2024-0331</t>
  </si>
  <si>
    <t>ORD-2024-0332</t>
  </si>
  <si>
    <t>ORD-2024-0333</t>
  </si>
  <si>
    <t>ORD-2024-0334</t>
  </si>
  <si>
    <t>ORD-2025-0335</t>
  </si>
  <si>
    <t>ORD-2025-0336</t>
  </si>
  <si>
    <t>ORD-2025-0337</t>
  </si>
  <si>
    <t>ORD-2025-0338</t>
  </si>
  <si>
    <t>ORD-2025-0339</t>
  </si>
  <si>
    <t>ORD-2025-0340</t>
  </si>
  <si>
    <t>CUST-0066</t>
  </si>
  <si>
    <t>Thomas Foster</t>
  </si>
  <si>
    <t>ORD-2025-0341</t>
  </si>
  <si>
    <t>ORD-2025-0342</t>
  </si>
  <si>
    <t>ORD-2025-0343</t>
  </si>
  <si>
    <t>ORD-2025-0344</t>
  </si>
  <si>
    <t>CUST-0143</t>
  </si>
  <si>
    <t>Layla Evans</t>
  </si>
  <si>
    <t>ORD-2025-0345</t>
  </si>
  <si>
    <t>ORD-2025-0346</t>
  </si>
  <si>
    <t>ORD-2025-0347</t>
  </si>
  <si>
    <t>ORD-2025-0348</t>
  </si>
  <si>
    <t>CUST-0053</t>
  </si>
  <si>
    <t>Jessica Khan</t>
  </si>
  <si>
    <t>ORD-2025-0349</t>
  </si>
  <si>
    <t>ORD-2025-0350</t>
  </si>
  <si>
    <t>ORD-2025-0351</t>
  </si>
  <si>
    <t>ORD-2025-0352</t>
  </si>
  <si>
    <t>ORD-2025-0353</t>
  </si>
  <si>
    <t>ORD-2025-0354</t>
  </si>
  <si>
    <t>ORD-2025-0355</t>
  </si>
  <si>
    <t>ORD-2025-0356</t>
  </si>
  <si>
    <t>ORD-2025-0357</t>
  </si>
  <si>
    <t>ORD-2025-0358</t>
  </si>
  <si>
    <t>ORD-2025-0359</t>
  </si>
  <si>
    <t>ORD-2025-0360</t>
  </si>
  <si>
    <t>ORD-2025-0361</t>
  </si>
  <si>
    <t>ORD-2025-0362</t>
  </si>
  <si>
    <t>ORD-2025-0363</t>
  </si>
  <si>
    <t>ORD-2025-0364</t>
  </si>
  <si>
    <t>ORD-2025-0365</t>
  </si>
  <si>
    <t>ORD-2025-0366</t>
  </si>
  <si>
    <t>ORD-2025-0367</t>
  </si>
  <si>
    <t>ORD-2025-0368</t>
  </si>
  <si>
    <t>ORD-2025-0369</t>
  </si>
  <si>
    <t>ORD-2025-0370</t>
  </si>
  <si>
    <t>ORD-2025-0371</t>
  </si>
  <si>
    <t>ORD-2025-0372</t>
  </si>
  <si>
    <t>ORD-2025-0373</t>
  </si>
  <si>
    <t>ORD-2025-0374</t>
  </si>
  <si>
    <t>ORD-2025-0375</t>
  </si>
  <si>
    <t>ORD-2025-0376</t>
  </si>
  <si>
    <t>ORD-2025-0377</t>
  </si>
  <si>
    <t>ORD-2025-0378</t>
  </si>
  <si>
    <t>ORD-2025-0379</t>
  </si>
  <si>
    <t>ORD-2025-0380</t>
  </si>
  <si>
    <t>CUST-0026</t>
  </si>
  <si>
    <t>Ethan James</t>
  </si>
  <si>
    <t>ORD-2025-0381</t>
  </si>
  <si>
    <t>ORD-2025-0382</t>
  </si>
  <si>
    <t>CUST-0134</t>
  </si>
  <si>
    <t>Aisha Hughes</t>
  </si>
  <si>
    <t>ORD-2025-0383</t>
  </si>
  <si>
    <t>ORD-2025-0384</t>
  </si>
  <si>
    <t>CUST-0125</t>
  </si>
  <si>
    <t>Zara Edwards</t>
  </si>
  <si>
    <t>ORD-2025-0385</t>
  </si>
  <si>
    <t>CUST-0105</t>
  </si>
  <si>
    <t>Lucas Campbell</t>
  </si>
  <si>
    <t>ORD-2025-0386</t>
  </si>
  <si>
    <t>ORD-2025-0387</t>
  </si>
  <si>
    <t>ORD-2025-0388</t>
  </si>
  <si>
    <t>ORD-2025-0389</t>
  </si>
  <si>
    <t>ORD-2025-0390</t>
  </si>
  <si>
    <t>ORD-2025-0391</t>
  </si>
  <si>
    <t>CUST-0154</t>
  </si>
  <si>
    <t>Mohammed Morris</t>
  </si>
  <si>
    <t>ORD-2025-0392</t>
  </si>
  <si>
    <t>ORD-2025-0393</t>
  </si>
  <si>
    <t>ORD-2025-0394</t>
  </si>
  <si>
    <t>ORD-2025-0395</t>
  </si>
  <si>
    <t>ORD-2025-0396</t>
  </si>
  <si>
    <t>ORD-2025-0397</t>
  </si>
  <si>
    <t>ORD-2025-0398</t>
  </si>
  <si>
    <t>ORD-2025-0399</t>
  </si>
  <si>
    <t>ORD-2025-0400</t>
  </si>
  <si>
    <t>ORD-2025-0401</t>
  </si>
  <si>
    <t>ORD-2025-0402</t>
  </si>
  <si>
    <t>ORD-2025-0403</t>
  </si>
  <si>
    <t>ORD-2025-0404</t>
  </si>
  <si>
    <t>ORD-2025-0405</t>
  </si>
  <si>
    <t>ORD-2025-0406</t>
  </si>
  <si>
    <t>ORD-2025-0407</t>
  </si>
  <si>
    <t>ORD-2025-0408</t>
  </si>
  <si>
    <t>ORD-2025-0409</t>
  </si>
  <si>
    <t>ORD-2025-0410</t>
  </si>
  <si>
    <t>ORD-2025-0411</t>
  </si>
  <si>
    <t>ORD-2025-0412</t>
  </si>
  <si>
    <t>ORD-2025-0413</t>
  </si>
  <si>
    <t>ORD-2025-0414</t>
  </si>
  <si>
    <t>ORD-2025-0415</t>
  </si>
  <si>
    <t>ORD-2025-0416</t>
  </si>
  <si>
    <t>ORD-2025-0417</t>
  </si>
  <si>
    <t>CUST-0133</t>
  </si>
  <si>
    <t>Layla Morgan</t>
  </si>
  <si>
    <t>ORD-2025-0418</t>
  </si>
  <si>
    <t>ORD-2025-0419</t>
  </si>
  <si>
    <t>ORD-2025-0420</t>
  </si>
  <si>
    <t>ORD-2025-0421</t>
  </si>
  <si>
    <t>ORD-2025-0422</t>
  </si>
  <si>
    <t>ORD-2025-0423</t>
  </si>
  <si>
    <t>CUST-0096</t>
  </si>
  <si>
    <t>Zara James</t>
  </si>
  <si>
    <t>ORD-2025-0424</t>
  </si>
  <si>
    <t>ORD-2025-0425</t>
  </si>
  <si>
    <t>ORD-2025-0426</t>
  </si>
  <si>
    <t>ORD-2025-0427</t>
  </si>
  <si>
    <t>CUST-0024</t>
  </si>
  <si>
    <t>Mohammed Bennett</t>
  </si>
  <si>
    <t>ORD-2025-0428</t>
  </si>
  <si>
    <t>ORD-2025-0429</t>
  </si>
  <si>
    <t>ORD-2025-0430</t>
  </si>
  <si>
    <t>ORD-2025-0431</t>
  </si>
  <si>
    <t>ORD-2025-0432</t>
  </si>
  <si>
    <t>ORD-2025-0433</t>
  </si>
  <si>
    <t>ORD-2025-0434</t>
  </si>
  <si>
    <t>CUST-0074</t>
  </si>
  <si>
    <t>Lucas Ahmed</t>
  </si>
  <si>
    <t>ORD-2025-0435</t>
  </si>
  <si>
    <t>ORD-2025-0436</t>
  </si>
  <si>
    <t>ORD-2025-0437</t>
  </si>
  <si>
    <t>ORD-2025-0438</t>
  </si>
  <si>
    <t>ORD-2025-0439</t>
  </si>
  <si>
    <t>CUST-0166</t>
  </si>
  <si>
    <t>Freddie Baker</t>
  </si>
  <si>
    <t>ORD-2025-0440</t>
  </si>
  <si>
    <t>ORD-2025-0441</t>
  </si>
  <si>
    <t>ORD-2025-0442</t>
  </si>
  <si>
    <t>ORD-2025-0443</t>
  </si>
  <si>
    <t>ORD-2025-0444</t>
  </si>
  <si>
    <t>CUST-0112</t>
  </si>
  <si>
    <t>Harry Roberts</t>
  </si>
  <si>
    <t>ORD-2025-0445</t>
  </si>
  <si>
    <t>ORD-2025-0446</t>
  </si>
  <si>
    <t>ORD-2025-0447</t>
  </si>
  <si>
    <t>ORD-2025-0448</t>
  </si>
  <si>
    <t>ORD-2025-0449</t>
  </si>
  <si>
    <t>ORD-2025-0450</t>
  </si>
  <si>
    <t>ORD-2025-0451</t>
  </si>
  <si>
    <t>ORD-2025-0452</t>
  </si>
  <si>
    <t>ORD-2025-0453</t>
  </si>
  <si>
    <t>CUST-0083</t>
  </si>
  <si>
    <t>Leo Evans</t>
  </si>
  <si>
    <t>ORD-2025-0454</t>
  </si>
  <si>
    <t>ORD-2025-0455</t>
  </si>
  <si>
    <t>ORD-2025-0456</t>
  </si>
  <si>
    <t>ORD-2025-0457</t>
  </si>
  <si>
    <t>ORD-2025-0458</t>
  </si>
  <si>
    <t>ORD-2025-0459</t>
  </si>
  <si>
    <t>ORD-2025-0460</t>
  </si>
  <si>
    <t>ORD-2025-0461</t>
  </si>
  <si>
    <t>CUST-0094</t>
  </si>
  <si>
    <t>Leo Patel</t>
  </si>
  <si>
    <t>ORD-2025-0462</t>
  </si>
  <si>
    <t>ORD-2025-0463</t>
  </si>
  <si>
    <t>ORD-2025-0464</t>
  </si>
  <si>
    <t>CUST-0068</t>
  </si>
  <si>
    <t>Leo Hall</t>
  </si>
  <si>
    <t>ORD-2025-0465</t>
  </si>
  <si>
    <t>ORD-2025-0466</t>
  </si>
  <si>
    <t>ORD-2025-0467</t>
  </si>
  <si>
    <t>ORD-2025-0468</t>
  </si>
  <si>
    <t>ORD-2025-0469</t>
  </si>
  <si>
    <t>ORD-2025-0470</t>
  </si>
  <si>
    <t>ORD-2025-0471</t>
  </si>
  <si>
    <t>ORD-2025-0472</t>
  </si>
  <si>
    <t>ORD-2025-0473</t>
  </si>
  <si>
    <t>ORD-2025-0474</t>
  </si>
  <si>
    <t>ORD-2025-0475</t>
  </si>
  <si>
    <t>ORD-2025-0476</t>
  </si>
  <si>
    <t>ORD-2025-0477</t>
  </si>
  <si>
    <t>ORD-2025-0478</t>
  </si>
  <si>
    <t>ORD-2025-0479</t>
  </si>
  <si>
    <t>ORD-2025-0480</t>
  </si>
  <si>
    <t>ORD-2025-0481</t>
  </si>
  <si>
    <t>ORD-2025-0482</t>
  </si>
  <si>
    <t>ORD-2025-0483</t>
  </si>
  <si>
    <t>ORD-2025-0484</t>
  </si>
  <si>
    <t>ORD-2025-0485</t>
  </si>
  <si>
    <t>ORD-2025-0486</t>
  </si>
  <si>
    <t>ORD-2025-0487</t>
  </si>
  <si>
    <t>ORD-2025-0488</t>
  </si>
  <si>
    <t>ORD-2025-0489</t>
  </si>
  <si>
    <t>ORD-2025-0490</t>
  </si>
  <si>
    <t>ORD-2025-0491</t>
  </si>
  <si>
    <t>ORD-2025-0492</t>
  </si>
  <si>
    <t>CUST-0165</t>
  </si>
  <si>
    <t>Zara Shah</t>
  </si>
  <si>
    <t>ORD-2025-0493</t>
  </si>
  <si>
    <t>ORD-2025-0494</t>
  </si>
  <si>
    <t>ORD-2025-0495</t>
  </si>
  <si>
    <t>CUST-0038</t>
  </si>
  <si>
    <t>Maya Patel</t>
  </si>
  <si>
    <t>ORD-2025-0496</t>
  </si>
  <si>
    <t>ORD-2025-0497</t>
  </si>
  <si>
    <t>ORD-2025-0498</t>
  </si>
  <si>
    <t>ORD-2025-0499</t>
  </si>
  <si>
    <t>ORD-2025-0500</t>
  </si>
  <si>
    <t>ORD-2025-0501</t>
  </si>
  <si>
    <t>ORD-2025-0502</t>
  </si>
  <si>
    <t>ORD-2025-0503</t>
  </si>
  <si>
    <t>ORD-2025-0504</t>
  </si>
  <si>
    <t>ORD-2025-0505</t>
  </si>
  <si>
    <t>ORD-2025-0506</t>
  </si>
  <si>
    <t>ORD-2025-0507</t>
  </si>
  <si>
    <t>ORD-2025-0508</t>
  </si>
  <si>
    <t>ORD-2025-0509</t>
  </si>
  <si>
    <t>ORD-2025-0510</t>
  </si>
  <si>
    <t>ORD-2025-0511</t>
  </si>
  <si>
    <t>ORD-2025-0512</t>
  </si>
  <si>
    <t>ORD-2025-0513</t>
  </si>
  <si>
    <t>ORD-2025-0514</t>
  </si>
  <si>
    <t>ORD-2025-0515</t>
  </si>
  <si>
    <t>ORD-2025-0516</t>
  </si>
  <si>
    <t>ORD-2025-0517</t>
  </si>
  <si>
    <t>ORD-2025-0518</t>
  </si>
  <si>
    <t>ORD-2025-0519</t>
  </si>
  <si>
    <t>ORD-2025-0520</t>
  </si>
  <si>
    <t>ORD-2025-0521</t>
  </si>
  <si>
    <t>ORD-2025-0522</t>
  </si>
  <si>
    <t>ORD-2025-0523</t>
  </si>
  <si>
    <t>ORD-2025-0524</t>
  </si>
  <si>
    <t>ORD-2025-0525</t>
  </si>
  <si>
    <t>CUST-0149</t>
  </si>
  <si>
    <t>Emily Jackson</t>
  </si>
  <si>
    <t>ORD-2025-0526</t>
  </si>
  <si>
    <t>ORD-2025-0527</t>
  </si>
  <si>
    <t>ORD-2025-0528</t>
  </si>
  <si>
    <t>ORD-2025-0529</t>
  </si>
  <si>
    <t>ORD-2025-0530</t>
  </si>
  <si>
    <t>ORD-2025-0531</t>
  </si>
  <si>
    <t>ORD-2025-0532</t>
  </si>
  <si>
    <t>ORD-2025-0533</t>
  </si>
  <si>
    <t>ORD-2025-0534</t>
  </si>
  <si>
    <t>ORD-2025-0535</t>
  </si>
  <si>
    <t>ORD-2025-0536</t>
  </si>
  <si>
    <t>ORD-2025-0537</t>
  </si>
  <si>
    <t>ORD-2025-0538</t>
  </si>
  <si>
    <t>ORD-2025-0539</t>
  </si>
  <si>
    <t>CUST-0177</t>
  </si>
  <si>
    <t>Eleanor Mitchell</t>
  </si>
  <si>
    <t>ORD-2025-0540</t>
  </si>
  <si>
    <t>ORD-2025-0541</t>
  </si>
  <si>
    <t>ORD-2025-0542</t>
  </si>
  <si>
    <t>ORD-2025-0543</t>
  </si>
  <si>
    <t>ORD-2025-0544</t>
  </si>
  <si>
    <t>ORD-2025-0545</t>
  </si>
  <si>
    <t>ORD-2025-0546</t>
  </si>
  <si>
    <t>ORD-2025-0547</t>
  </si>
  <si>
    <t>ORD-2025-0548</t>
  </si>
  <si>
    <t>CUST-0050</t>
  </si>
  <si>
    <t>Zara Foster</t>
  </si>
  <si>
    <t>ORD-2025-0549</t>
  </si>
  <si>
    <t>ORD-2025-0550</t>
  </si>
  <si>
    <t>CUST-0147</t>
  </si>
  <si>
    <t>Jessica Patel</t>
  </si>
  <si>
    <t>ORD-2025-0551</t>
  </si>
  <si>
    <t>ORD-2025-0552</t>
  </si>
  <si>
    <t>ORD-2025-0553</t>
  </si>
  <si>
    <t>ORD-2025-0554</t>
  </si>
  <si>
    <t>ORD-2025-0555</t>
  </si>
  <si>
    <t>ORD-2025-0556</t>
  </si>
  <si>
    <t>ORD-2025-0557</t>
  </si>
  <si>
    <t>ORD-2025-0558</t>
  </si>
  <si>
    <t>ORD-2025-0559</t>
  </si>
  <si>
    <t>ORD-2025-0560</t>
  </si>
  <si>
    <t>ORD-2025-0561</t>
  </si>
  <si>
    <t>ORD-2025-0562</t>
  </si>
  <si>
    <t>ORD-2025-0563</t>
  </si>
  <si>
    <t>ORD-2025-0564</t>
  </si>
  <si>
    <t>ORD-2025-0565</t>
  </si>
  <si>
    <t>ORD-2025-0566</t>
  </si>
  <si>
    <t>ORD-2025-0567</t>
  </si>
  <si>
    <t>ORD-2025-0568</t>
  </si>
  <si>
    <t>CUST-0115</t>
  </si>
  <si>
    <t>Grace Robinson</t>
  </si>
  <si>
    <t>ORD-2025-0569</t>
  </si>
  <si>
    <t>ORD-2025-0570</t>
  </si>
  <si>
    <t>ORD-2025-0571</t>
  </si>
  <si>
    <t>ORD-2025-0572</t>
  </si>
  <si>
    <t>ORD-2025-0573</t>
  </si>
  <si>
    <t>ORD-2025-0574</t>
  </si>
  <si>
    <t>ORD-2025-0575</t>
  </si>
  <si>
    <t>ORD-2025-0576</t>
  </si>
  <si>
    <t>ORD-2025-0577</t>
  </si>
  <si>
    <t>ORD-2025-0578</t>
  </si>
  <si>
    <t>ORD-2025-0579</t>
  </si>
  <si>
    <t>ORD-2025-0580</t>
  </si>
  <si>
    <t>ORD-2025-0581</t>
  </si>
  <si>
    <t>ORD-2025-0582</t>
  </si>
  <si>
    <t>ORD-2025-0583</t>
  </si>
  <si>
    <t>ORD-2025-0584</t>
  </si>
  <si>
    <t>ORD-2025-0585</t>
  </si>
  <si>
    <t>ORD-2025-0586</t>
  </si>
  <si>
    <t>ORD-2025-0587</t>
  </si>
  <si>
    <t>ORD-2025-0588</t>
  </si>
  <si>
    <t>ORD-2025-0589</t>
  </si>
  <si>
    <t>ORD-2025-0590</t>
  </si>
  <si>
    <t>ORD-2025-0591</t>
  </si>
  <si>
    <t>ORD-2025-0592</t>
  </si>
  <si>
    <t>ORD-2025-0593</t>
  </si>
  <si>
    <t>ORD-2025-0594</t>
  </si>
  <si>
    <t>ORD-2025-0595</t>
  </si>
  <si>
    <t>ORD-2025-0596</t>
  </si>
  <si>
    <t>ORD-2025-0597</t>
  </si>
  <si>
    <t>CUST-0061</t>
  </si>
  <si>
    <t>Ethan Foster</t>
  </si>
  <si>
    <t>ORD-2025-0598</t>
  </si>
  <si>
    <t>ORD-2025-0599</t>
  </si>
  <si>
    <t>ORD-2025-0600</t>
  </si>
  <si>
    <t>ORD-2025-0601</t>
  </si>
  <si>
    <t>ORD-2025-0602</t>
  </si>
  <si>
    <t>ORD-2025-0603</t>
  </si>
  <si>
    <t>ORD-2025-0604</t>
  </si>
  <si>
    <t>ORD-2025-0605</t>
  </si>
  <si>
    <t>ORD-2025-0606</t>
  </si>
  <si>
    <t>ORD-2025-0607</t>
  </si>
  <si>
    <t>ORD-2025-0608</t>
  </si>
  <si>
    <t>ORD-2025-0609</t>
  </si>
  <si>
    <t>ORD-2025-0610</t>
  </si>
  <si>
    <t>ORD-2025-0611</t>
  </si>
  <si>
    <t>CUST-0140</t>
  </si>
  <si>
    <t>Alice Hughes</t>
  </si>
  <si>
    <t>ORD-2025-0612</t>
  </si>
  <si>
    <t>ORD-2025-0613</t>
  </si>
  <si>
    <t>ORD-2025-0614</t>
  </si>
  <si>
    <t>ORD-2025-0615</t>
  </si>
  <si>
    <t>ORD-2025-0616</t>
  </si>
  <si>
    <t>ORD-2025-0617</t>
  </si>
  <si>
    <t>ORD-2025-0618</t>
  </si>
  <si>
    <t>ORD-2025-0619</t>
  </si>
  <si>
    <t>ORD-2025-0620</t>
  </si>
  <si>
    <t>ORD-2025-0621</t>
  </si>
  <si>
    <t>ORD-2025-0622</t>
  </si>
  <si>
    <t>ORD-2025-0623</t>
  </si>
  <si>
    <t>ORD-2025-0624</t>
  </si>
  <si>
    <t>ORD-2025-0625</t>
  </si>
  <si>
    <t>ORD-2025-0626</t>
  </si>
  <si>
    <t>ORD-2025-0627</t>
  </si>
  <si>
    <t>ORD-2025-0628</t>
  </si>
  <si>
    <t>ORD-2025-0629</t>
  </si>
  <si>
    <t>CUST-0159</t>
  </si>
  <si>
    <t>Priya King</t>
  </si>
  <si>
    <t>ORD-2025-0630</t>
  </si>
  <si>
    <t>CUST-0022</t>
  </si>
  <si>
    <t>Joseph Hughes</t>
  </si>
  <si>
    <t>ORD-2025-0631</t>
  </si>
  <si>
    <t>CUST-0109</t>
  </si>
  <si>
    <t>Lucas Cooper</t>
  </si>
  <si>
    <t>ORD-2025-0632</t>
  </si>
  <si>
    <t>ORD-2025-0633</t>
  </si>
  <si>
    <t>CUST-0121</t>
  </si>
  <si>
    <t>Freddie Patel</t>
  </si>
  <si>
    <t>ORD-2025-0634</t>
  </si>
  <si>
    <t>ORD-2025-0635</t>
  </si>
  <si>
    <t>ORD-2025-0636</t>
  </si>
  <si>
    <t>ORD-2025-0637</t>
  </si>
  <si>
    <t>ORD-2025-0638</t>
  </si>
  <si>
    <t>ORD-2025-0639</t>
  </si>
  <si>
    <t>ORD-2025-0640</t>
  </si>
  <si>
    <t>ORD-2025-0641</t>
  </si>
  <si>
    <t>ORD-2025-0642</t>
  </si>
  <si>
    <t>ORD-2025-0643</t>
  </si>
  <si>
    <t>ORD-2025-0644</t>
  </si>
  <si>
    <t>ORD-2025-0645</t>
  </si>
  <si>
    <t>ORD-2025-0646</t>
  </si>
  <si>
    <t>ORD-2025-0647</t>
  </si>
  <si>
    <t>ORD-2025-0648</t>
  </si>
  <si>
    <t>ORD-2025-0649</t>
  </si>
  <si>
    <t>ORD-2025-0650</t>
  </si>
  <si>
    <t>Complete the yellow cells with formulas, then use PivotTables for comparisons and trends.</t>
  </si>
  <si>
    <t>Formula exercises</t>
  </si>
  <si>
    <t>#</t>
  </si>
  <si>
    <t>Business question</t>
  </si>
  <si>
    <t>Skill or hint</t>
  </si>
  <si>
    <t>Your result</t>
  </si>
  <si>
    <t>What it means</t>
  </si>
  <si>
    <t>How many transaction lines are in the table?</t>
  </si>
  <si>
    <t>ROWS</t>
  </si>
  <si>
    <t>How many units were sold?</t>
  </si>
  <si>
    <t>SUM on Quantity</t>
  </si>
  <si>
    <t>What is total revenue?</t>
  </si>
  <si>
    <t>SUM on Revenue</t>
  </si>
  <si>
    <t>What is total cost?</t>
  </si>
  <si>
    <t>SUM on Cost</t>
  </si>
  <si>
    <t>What is total profit?</t>
  </si>
  <si>
    <t>SUM on Profit</t>
  </si>
  <si>
    <t>What is the overall profit margin?</t>
  </si>
  <si>
    <t>Total Profit divided by Total Revenue</t>
  </si>
  <si>
    <t>What is the average revenue per transaction line?</t>
  </si>
  <si>
    <t>AVERAGE on Revenue</t>
  </si>
  <si>
    <t>What is the highest transaction-line revenue?</t>
  </si>
  <si>
    <t>MAX on Revenue</t>
  </si>
  <si>
    <t>What is the lowest transaction-line profit?</t>
  </si>
  <si>
    <t>MIN on Profit</t>
  </si>
  <si>
    <t>How many transaction lines came through Online sales?</t>
  </si>
  <si>
    <t>COUNTIF on Sales Channel</t>
  </si>
  <si>
    <t>How much revenue came from the North West?</t>
  </si>
  <si>
    <t>SUMIF using Region and Revenue</t>
  </si>
  <si>
    <t>How many transaction lines used PayPal?</t>
  </si>
  <si>
    <t>COUNTIF on Payment Method</t>
  </si>
  <si>
    <t>PivotTable exercises</t>
  </si>
  <si>
    <t>Rows</t>
  </si>
  <si>
    <t>Values</t>
  </si>
  <si>
    <t>Filter or sort</t>
  </si>
  <si>
    <t>Your finding</t>
  </si>
  <si>
    <t>Compare revenue by region</t>
  </si>
  <si>
    <t>Sum of Revenue</t>
  </si>
  <si>
    <t>Largest to smallest</t>
  </si>
  <si>
    <t>Compare profit by category</t>
  </si>
  <si>
    <t>Sum of Profit</t>
  </si>
  <si>
    <t>Show the monthly revenue trend</t>
  </si>
  <si>
    <t>Order Date grouped by Years and Months</t>
  </si>
  <si>
    <t>Chronological</t>
  </si>
  <si>
    <t>Compare product revenue and profit</t>
  </si>
  <si>
    <t>Sum of Revenue; Sum of Profit</t>
  </si>
  <si>
    <t>Largest revenue first</t>
  </si>
  <si>
    <t>Find the top ten customers</t>
  </si>
  <si>
    <t>Top 10 value filter</t>
  </si>
  <si>
    <t>Compare sales channels</t>
  </si>
  <si>
    <t>Review payment-method mix</t>
  </si>
  <si>
    <t>Count of Order ID</t>
  </si>
  <si>
    <t>Largest count first</t>
  </si>
  <si>
    <t>PivotTable workspace</t>
  </si>
  <si>
    <t>Create your first PivotTable at A34. Put later PivotTables below it or to the right, leaving space between each one.</t>
  </si>
  <si>
    <t>Retail sales dashboard</t>
  </si>
  <si>
    <t>TOTAL REVENUE</t>
  </si>
  <si>
    <t>TOTAL PROFIT</t>
  </si>
  <si>
    <t>PROFIT MARGIN</t>
  </si>
  <si>
    <t>TRANSACTION LINES</t>
  </si>
  <si>
    <t>Monthly revenue</t>
  </si>
  <si>
    <t>Revenue by region</t>
  </si>
  <si>
    <t>Profit by category</t>
  </si>
  <si>
    <t>Revenue by sales channel</t>
  </si>
  <si>
    <t>Data dictionary</t>
  </si>
  <si>
    <t>Field definitions and suggested types for later Power BI and MySQL work.</t>
  </si>
  <si>
    <t>Field</t>
  </si>
  <si>
    <t>Definition</t>
  </si>
  <si>
    <t>Excel type</t>
  </si>
  <si>
    <t>MySQL suggestion</t>
  </si>
  <si>
    <t>Example</t>
  </si>
  <si>
    <t>Notes</t>
  </si>
  <si>
    <t>Identifier for the customer order</t>
  </si>
  <si>
    <t>Text</t>
  </si>
  <si>
    <t>VARCHAR(20)</t>
  </si>
  <si>
    <t>Repeats when one order contains more than one product line</t>
  </si>
  <si>
    <t>Date the order was placed</t>
  </si>
  <si>
    <t>Date</t>
  </si>
  <si>
    <t>DATE</t>
  </si>
  <si>
    <t>Covers 2024-01-01 to 2025-12-31</t>
  </si>
  <si>
    <t>Stable customer identifier</t>
  </si>
  <si>
    <t>Use as a customer key when normalising the data</t>
  </si>
  <si>
    <t>Fictional customer full name</t>
  </si>
  <si>
    <t>VARCHAR(100)</t>
  </si>
  <si>
    <t>One name is assigned consistently to each Customer ID</t>
  </si>
  <si>
    <t>Customer city</t>
  </si>
  <si>
    <t>VARCHAR(60)</t>
  </si>
  <si>
    <t>City is assigned consistently to each customer</t>
  </si>
  <si>
    <t>Sales territory derived from city</t>
  </si>
  <si>
    <t>VARCHAR(40)</t>
  </si>
  <si>
    <t>Useful for geographic comparisons</t>
  </si>
  <si>
    <t>Product sold on the order line</t>
  </si>
  <si>
    <t>Product names map consistently to one category</t>
  </si>
  <si>
    <t>High-level product group</t>
  </si>
  <si>
    <t>VARCHAR(50)</t>
  </si>
  <si>
    <t>Electronics, Home &amp; Kitchen, Office, Fitness or Outdoor</t>
  </si>
  <si>
    <t>Number of units on the order line</t>
  </si>
  <si>
    <t>Whole number</t>
  </si>
  <si>
    <t>INT</t>
  </si>
  <si>
    <t>Positive integer</t>
  </si>
  <si>
    <t>Selling price per unit after any promotion</t>
  </si>
  <si>
    <t>Currency</t>
  </si>
  <si>
    <t>DECIMAL(10,2)</t>
  </si>
  <si>
    <t>Stored as a number, not text</t>
  </si>
  <si>
    <t>Quantity multiplied by Unit Price</t>
  </si>
  <si>
    <t>DECIMAL(12,2)</t>
  </si>
  <si>
    <t>Line-level sales value</t>
  </si>
  <si>
    <t>Estimated product and channel fulfilment cost</t>
  </si>
  <si>
    <t>Line-level cost value</t>
  </si>
  <si>
    <t>Revenue minus Cost</t>
  </si>
  <si>
    <t>Negative values flag loss-making lines</t>
  </si>
  <si>
    <t>Method used to pay for the order</t>
  </si>
  <si>
    <t>VARCHAR(30)</t>
  </si>
  <si>
    <t>Payment choices vary by sales channel</t>
  </si>
  <si>
    <t>Channel through which the order was placed</t>
  </si>
  <si>
    <t>Online, Retail Store, Marketplace or Phone</t>
  </si>
  <si>
    <t>Modelling note</t>
  </si>
  <si>
    <t>The Raw Data sheet is a flat table for Excel and Power BI. In MySQL, split it later into customers, products, orders and order_items tables so customer and product details are stored once.</t>
  </si>
  <si>
    <t>The dataset contains 900 transaction lines</t>
  </si>
  <si>
    <t>The company sold 1,501 units</t>
  </si>
  <si>
    <t>The company generated £67,938.50 in total revenue</t>
  </si>
  <si>
    <t>The total costs of the products sold was £47,871.97</t>
  </si>
  <si>
    <t>The company generated £20,066.53 in total profit</t>
  </si>
  <si>
    <t>The overall profit margin is 29.5%, meaning approximately 30p of every £1 of revenue remains after recorded costs</t>
  </si>
  <si>
    <t>Each transaction line generated an average of £75.49 in revenue</t>
  </si>
  <si>
    <t>The highest revenue generated by one transaction line was £428.37</t>
  </si>
  <si>
    <t>The lowest-performing transction line has produced £7.20 loss</t>
  </si>
  <si>
    <t>Online sales accounted for 440 transaction lines</t>
  </si>
  <si>
    <t>The North West reigon generated £10,515.12 in revenue</t>
  </si>
  <si>
    <t>PayPal was used for 155 transaction lines</t>
  </si>
  <si>
    <t>Row Labels</t>
  </si>
  <si>
    <t>Grand Total</t>
  </si>
  <si>
    <t>Yorkshire generated the highest revenue at £12,909.85</t>
  </si>
  <si>
    <t>Electronics generated the highest total profit at £6,314.80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</si>
  <si>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</si>
  <si>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</si>
  <si>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</si>
  <si>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</si>
  <si>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</si>
  <si>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</si>
  <si>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</si>
  <si>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</si>
  <si>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</si>
  <si>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</si>
  <si>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</si>
  <si>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</si>
  <si>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</si>
  <si>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</si>
  <si>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revenue fluctuated, reaching its highest level in September 2024 at £4,160.87 and its lowest level in Feburary 2025 at £1,444.75</t>
  </si>
  <si>
    <t>Cookware Set generated the highes trevenue at £4,397.72, while USB-C Hub generated the highest profit at £1,149.62</t>
  </si>
  <si>
    <t>Amelia Edwards was the highest-revenue customer, generating £1,865.60</t>
  </si>
  <si>
    <t>Online was the strongest sales channel, generating £31,761.28 in revenue and £10,048.25 in profit</t>
  </si>
  <si>
    <t>Credit Card was the most frequently used payment method, appearing on 294 transaction lines</t>
  </si>
  <si>
    <t>Complete</t>
  </si>
  <si>
    <t>Business Recommendations</t>
  </si>
  <si>
    <t>Sales performance overview | January 2024 to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</si>
</sst>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£#,##0.00;[Red]\(\£#,##0.00\);\-"/>
    <numFmt numFmtId="166" formatCode="0.0%"/>
    <numFmt numFmtId="167" formatCode="\£#,##0"/>
    <numFmt numFmtId="168" formatCode="&quot;£&quot;#,##0.00"/>
  </numFmts>
  <fonts count="16" x14ac:knownFonts="1">
    <font>
      <sz val="11"/>
      <color rgb="FF000000"/>
      <name val="Aptos Narrow"/>
    </font>
    <font>
      <b/>
      <sz val="10"/>
      <color rgb="FFFFFFFF"/>
      <name val="Arial"/>
    </font>
    <font>
      <b/>
      <sz val="10"/>
      <color rgb="FFF6FBF8"/>
      <name val="Arial"/>
    </font>
    <font>
      <b/>
      <sz val="9"/>
      <color rgb="FF17212B"/>
      <name val="Arial"/>
    </font>
    <font>
      <b/>
      <sz val="9"/>
      <color rgb="FF5B6570"/>
      <name val="Arial"/>
    </font>
    <font>
      <b/>
      <sz val="9"/>
      <color rgb="FFFFFFFF"/>
      <name val="Arial"/>
    </font>
    <font>
      <sz val="9"/>
      <color rgb="FF17212B"/>
      <name val="Arial"/>
    </font>
    <font>
      <sz val="9"/>
      <color rgb="FF0432FF"/>
      <name val="Arial"/>
    </font>
    <font>
      <sz val="10"/>
      <color rgb="FF17212B"/>
      <name val="Arial"/>
    </font>
    <font>
      <b/>
      <sz val="16"/>
      <color rgb="FFFFFFFF"/>
      <name val="Arial"/>
    </font>
    <font>
      <i/>
      <sz val="9"/>
      <color rgb="FF5B6570"/>
      <name val="Arial"/>
    </font>
    <font>
      <b/>
      <sz val="16"/>
      <color rgb="FF0432FF"/>
      <name val="Arial"/>
    </font>
    <font>
      <b/>
      <sz val="10"/>
      <color rgb="FF0B3D2E"/>
      <name val="Arial"/>
    </font>
    <font>
      <sz val="9"/>
      <color rgb="FF0432FF"/>
      <name val="Arial"/>
      <family val="2"/>
    </font>
    <font>
      <b/>
      <sz val="10"/>
      <color rgb="FFFFFFFF"/>
      <name val="Arial"/>
      <family val="2"/>
    </font>
    <font>
      <sz val="9"/>
      <color rgb="FF17212B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F3EE"/>
      </patternFill>
    </fill>
  </fills>
  <borders count="25">
    <border>
      <left/>
      <right/>
      <top/>
      <bottom/>
      <diagonal/>
    </border>
    <border>
      <left style="thin">
        <color rgb="FFD9E0E6"/>
      </left>
      <right/>
      <top style="thin">
        <color rgb="FFD9E0E6"/>
      </top>
      <bottom style="thin">
        <color rgb="FFD9E0E6"/>
      </bottom>
      <diagonal/>
    </border>
    <border>
      <left/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  <diagonal/>
    </border>
    <border>
      <left/>
      <right/>
      <top style="thin">
        <color rgb="FFD9E0E6"/>
      </top>
      <bottom style="thin">
        <color rgb="FFD9E0E6"/>
      </bottom>
      <diagonal/>
    </border>
    <border>
      <left style="thin">
        <color rgb="FFD9E0E6"/>
      </left>
      <right/>
      <top style="thin">
        <color rgb="FFD9E0E6"/>
      </top>
      <bottom/>
      <diagonal/>
    </border>
    <border>
      <left/>
      <right/>
      <top style="thin">
        <color rgb="FFD9E0E6"/>
      </top>
      <bottom/>
      <diagonal/>
    </border>
    <border>
      <left/>
      <right style="thin">
        <color rgb="FFD9E0E6"/>
      </right>
      <top style="thin">
        <color rgb="FFD9E0E6"/>
      </top>
      <bottom/>
      <diagonal/>
    </border>
    <border>
      <left style="thin">
        <color rgb="FFD9E0E6"/>
      </left>
      <right/>
      <top/>
      <bottom style="thin">
        <color rgb="FFD9E0E6"/>
      </bottom>
      <diagonal/>
    </border>
    <border>
      <left/>
      <right/>
      <top/>
      <bottom style="thin">
        <color rgb="FFD9E0E6"/>
      </bottom>
      <diagonal/>
    </border>
    <border>
      <left/>
      <right style="thin">
        <color rgb="FFD9E0E6"/>
      </right>
      <top/>
      <bottom style="thin">
        <color rgb="FFD9E0E6"/>
      </bottom>
      <diagonal/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  <diagonal/>
    </border>
    <border>
      <left style="thin">
        <color rgb="FF0F6B4F"/>
      </left>
      <right/>
      <top style="thin">
        <color rgb="FF0F6B4F"/>
      </top>
      <bottom style="thin">
        <color rgb="FF0F6B4F"/>
      </bottom>
      <diagonal/>
    </border>
    <border>
      <left/>
      <right/>
      <top style="thin">
        <color rgb="FF0F6B4F"/>
      </top>
      <bottom style="thin">
        <color rgb="FF0F6B4F"/>
      </bottom>
      <diagonal/>
    </border>
    <border>
      <left/>
      <right style="thin">
        <color rgb="FF0F6B4F"/>
      </right>
      <top style="thin">
        <color rgb="FF0F6B4F"/>
      </top>
      <bottom style="thin">
        <color rgb="FF0F6B4F"/>
      </bottom>
      <diagonal/>
    </border>
    <border>
      <left style="thin">
        <color rgb="FFD9E0E6"/>
      </left>
      <right/>
      <top/>
      <bottom/>
      <diagonal/>
    </border>
    <border>
      <left/>
      <right style="thin">
        <color rgb="FFD9E0E6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C26E"/>
      </left>
      <right/>
      <top style="thin">
        <color rgb="FFD6C26E"/>
      </top>
      <bottom/>
      <diagonal/>
    </border>
    <border>
      <left/>
      <right/>
      <top style="thin">
        <color rgb="FFD6C26E"/>
      </top>
      <bottom/>
      <diagonal/>
    </border>
    <border>
      <left/>
      <right style="thin">
        <color rgb="FFD6C26E"/>
      </right>
      <top style="thin">
        <color rgb="FFD6C26E"/>
      </top>
      <bottom/>
      <diagonal/>
    </border>
    <border>
      <left style="thin">
        <color rgb="FFD6C26E"/>
      </left>
      <right/>
      <top/>
      <bottom style="thin">
        <color rgb="FFD6C26E"/>
      </bottom>
      <diagonal/>
    </border>
    <border>
      <left/>
      <right/>
      <top/>
      <bottom style="thin">
        <color rgb="FFD6C26E"/>
      </bottom>
      <diagonal/>
    </border>
    <border>
      <left/>
      <right style="thin">
        <color rgb="FFD6C26E"/>
      </right>
      <top/>
      <bottom style="thin">
        <color rgb="FFD6C26E"/>
      </bottom>
      <diagonal/>
    </border>
    <border>
      <left/>
      <right/>
      <top style="thin">
        <color rgb="FF0F6B4F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8" fillId="0" borderId="0" xfId="0" applyFont="1"/>
    <xf numFmtId="0" fontId="9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4" fillId="4" borderId="5" xfId="0" applyFont="1" applyFill="1" applyBorder="1"/>
    <xf numFmtId="0" fontId="4" fillId="4" borderId="15" xfId="0" applyFont="1" applyFill="1" applyBorder="1"/>
    <xf numFmtId="0" fontId="4" fillId="4" borderId="8" xfId="0" applyFont="1" applyFill="1" applyBorder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9" xfId="0" applyFont="1" applyBorder="1"/>
    <xf numFmtId="0" fontId="7" fillId="6" borderId="3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7" borderId="11" xfId="0" applyFont="1" applyFill="1" applyBorder="1"/>
    <xf numFmtId="0" fontId="3" fillId="5" borderId="11" xfId="0" applyFont="1" applyFill="1" applyBorder="1"/>
    <xf numFmtId="0" fontId="8" fillId="5" borderId="5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5" borderId="6" xfId="0" applyFont="1" applyFill="1" applyBorder="1"/>
    <xf numFmtId="0" fontId="8" fillId="5" borderId="7" xfId="0" applyFont="1" applyFill="1" applyBorder="1"/>
    <xf numFmtId="0" fontId="8" fillId="5" borderId="16" xfId="0" applyFont="1" applyFill="1" applyBorder="1"/>
    <xf numFmtId="0" fontId="8" fillId="4" borderId="8" xfId="0" applyFont="1" applyFill="1" applyBorder="1" applyAlignment="1">
      <alignment horizontal="center"/>
    </xf>
    <xf numFmtId="164" fontId="8" fillId="0" borderId="0" xfId="0" applyNumberFormat="1" applyFont="1"/>
    <xf numFmtId="3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wrapText="1"/>
    </xf>
    <xf numFmtId="0" fontId="8" fillId="0" borderId="6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vertical="center" wrapText="1"/>
    </xf>
    <xf numFmtId="3" fontId="7" fillId="6" borderId="3" xfId="0" applyNumberFormat="1" applyFont="1" applyFill="1" applyBorder="1" applyAlignment="1">
      <alignment vertical="center" wrapText="1"/>
    </xf>
    <xf numFmtId="165" fontId="7" fillId="6" borderId="3" xfId="0" applyNumberFormat="1" applyFont="1" applyFill="1" applyBorder="1" applyAlignment="1">
      <alignment vertical="center" wrapText="1"/>
    </xf>
    <xf numFmtId="166" fontId="7" fillId="6" borderId="3" xfId="0" applyNumberFormat="1" applyFont="1" applyFill="1" applyBorder="1" applyAlignment="1">
      <alignment vertical="center" wrapText="1"/>
    </xf>
    <xf numFmtId="0" fontId="8" fillId="0" borderId="7" xfId="0" applyFont="1" applyBorder="1"/>
    <xf numFmtId="0" fontId="8" fillId="0" borderId="16" xfId="0" applyFont="1" applyBorder="1"/>
    <xf numFmtId="0" fontId="8" fillId="0" borderId="10" xfId="0" applyFont="1" applyBorder="1"/>
    <xf numFmtId="0" fontId="8" fillId="5" borderId="15" xfId="0" applyFont="1" applyFill="1" applyBorder="1"/>
    <xf numFmtId="0" fontId="8" fillId="5" borderId="8" xfId="0" applyFont="1" applyFill="1" applyBorder="1"/>
    <xf numFmtId="0" fontId="8" fillId="5" borderId="9" xfId="0" applyFont="1" applyFill="1" applyBorder="1"/>
    <xf numFmtId="0" fontId="8" fillId="5" borderId="10" xfId="0" applyFont="1" applyFill="1" applyBorder="1"/>
    <xf numFmtId="0" fontId="12" fillId="5" borderId="5" xfId="0" applyFont="1" applyFill="1" applyBorder="1"/>
    <xf numFmtId="0" fontId="10" fillId="5" borderId="15" xfId="0" applyFont="1" applyFill="1" applyBorder="1"/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10" fillId="4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8" fontId="0" fillId="0" borderId="0" xfId="0" applyNumberFormat="1"/>
    <xf numFmtId="0" fontId="13" fillId="6" borderId="3" xfId="0" applyFont="1" applyFill="1" applyBorder="1" applyAlignment="1">
      <alignment wrapText="1"/>
    </xf>
    <xf numFmtId="0" fontId="0" fillId="0" borderId="0" xfId="0" applyAlignment="1">
      <alignment horizontal="left" indent="1"/>
    </xf>
    <xf numFmtId="0" fontId="14" fillId="3" borderId="12" xfId="0" applyFont="1" applyFill="1" applyBorder="1" applyAlignment="1">
      <alignment vertical="center"/>
    </xf>
    <xf numFmtId="0" fontId="15" fillId="4" borderId="0" xfId="0" applyFont="1" applyFill="1"/>
    <xf numFmtId="0" fontId="6" fillId="4" borderId="0" xfId="0" applyFont="1" applyFill="1"/>
    <xf numFmtId="0" fontId="6" fillId="4" borderId="0" xfId="0" applyFont="1" applyFill="1" applyAlignment="1">
      <alignment wrapText="1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3" fontId="11" fillId="6" borderId="18" xfId="0" applyNumberFormat="1" applyFont="1" applyFill="1" applyBorder="1" applyAlignment="1">
      <alignment horizontal="center" vertical="center"/>
    </xf>
    <xf numFmtId="3" fontId="11" fillId="6" borderId="19" xfId="0" applyNumberFormat="1" applyFont="1" applyFill="1" applyBorder="1" applyAlignment="1">
      <alignment horizontal="center" vertical="center"/>
    </xf>
    <xf numFmtId="3" fontId="11" fillId="6" borderId="20" xfId="0" applyNumberFormat="1" applyFont="1" applyFill="1" applyBorder="1" applyAlignment="1">
      <alignment horizontal="center" vertical="center"/>
    </xf>
    <xf numFmtId="3" fontId="11" fillId="6" borderId="21" xfId="0" applyNumberFormat="1" applyFont="1" applyFill="1" applyBorder="1" applyAlignment="1">
      <alignment horizontal="center" vertical="center"/>
    </xf>
    <xf numFmtId="3" fontId="11" fillId="6" borderId="22" xfId="0" applyNumberFormat="1" applyFont="1" applyFill="1" applyBorder="1" applyAlignment="1">
      <alignment horizontal="center" vertical="center"/>
    </xf>
    <xf numFmtId="3" fontId="11" fillId="6" borderId="23" xfId="0" applyNumberFormat="1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/>
    </xf>
    <xf numFmtId="167" fontId="11" fillId="6" borderId="18" xfId="0" applyNumberFormat="1" applyFont="1" applyFill="1" applyBorder="1" applyAlignment="1">
      <alignment horizontal="center" vertical="center"/>
    </xf>
    <xf numFmtId="167" fontId="11" fillId="6" borderId="19" xfId="0" applyNumberFormat="1" applyFont="1" applyFill="1" applyBorder="1" applyAlignment="1">
      <alignment horizontal="center" vertical="center"/>
    </xf>
    <xf numFmtId="167" fontId="11" fillId="6" borderId="20" xfId="0" applyNumberFormat="1" applyFont="1" applyFill="1" applyBorder="1" applyAlignment="1">
      <alignment horizontal="center" vertical="center"/>
    </xf>
    <xf numFmtId="167" fontId="11" fillId="6" borderId="21" xfId="0" applyNumberFormat="1" applyFont="1" applyFill="1" applyBorder="1" applyAlignment="1">
      <alignment horizontal="center" vertical="center"/>
    </xf>
    <xf numFmtId="167" fontId="11" fillId="6" borderId="22" xfId="0" applyNumberFormat="1" applyFont="1" applyFill="1" applyBorder="1" applyAlignment="1">
      <alignment horizontal="center" vertical="center"/>
    </xf>
    <xf numFmtId="167" fontId="11" fillId="6" borderId="23" xfId="0" applyNumberFormat="1" applyFont="1" applyFill="1" applyBorder="1" applyAlignment="1">
      <alignment horizontal="center" vertical="center"/>
    </xf>
    <xf numFmtId="166" fontId="11" fillId="6" borderId="18" xfId="0" applyNumberFormat="1" applyFont="1" applyFill="1" applyBorder="1" applyAlignment="1">
      <alignment horizontal="center" vertical="center"/>
    </xf>
    <xf numFmtId="166" fontId="11" fillId="6" borderId="19" xfId="0" applyNumberFormat="1" applyFont="1" applyFill="1" applyBorder="1" applyAlignment="1">
      <alignment horizontal="center" vertical="center"/>
    </xf>
    <xf numFmtId="166" fontId="11" fillId="6" borderId="20" xfId="0" applyNumberFormat="1" applyFont="1" applyFill="1" applyBorder="1" applyAlignment="1">
      <alignment horizontal="center" vertical="center"/>
    </xf>
    <xf numFmtId="166" fontId="11" fillId="6" borderId="21" xfId="0" applyNumberFormat="1" applyFont="1" applyFill="1" applyBorder="1" applyAlignment="1">
      <alignment horizontal="center" vertical="center"/>
    </xf>
    <xf numFmtId="166" fontId="11" fillId="6" borderId="22" xfId="0" applyNumberFormat="1" applyFont="1" applyFill="1" applyBorder="1" applyAlignment="1">
      <alignment horizontal="center" vertical="center"/>
    </xf>
    <xf numFmtId="166" fontId="11" fillId="6" borderId="23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16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wrapText="1"/>
    </xf>
    <xf numFmtId="0" fontId="8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4" borderId="9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5" borderId="7" xfId="0" applyFont="1" applyFill="1" applyBorder="1" applyAlignment="1">
      <alignment wrapText="1"/>
    </xf>
    <xf numFmtId="0" fontId="8" fillId="4" borderId="16" xfId="0" applyFont="1" applyFill="1" applyBorder="1" applyAlignment="1">
      <alignment wrapText="1"/>
    </xf>
    <xf numFmtId="0" fontId="8" fillId="5" borderId="0" xfId="0" applyFont="1" applyFill="1"/>
    <xf numFmtId="0" fontId="8" fillId="5" borderId="16" xfId="0" applyFont="1" applyFill="1" applyBorder="1"/>
    <xf numFmtId="0" fontId="8" fillId="4" borderId="0" xfId="0" applyFont="1" applyFill="1"/>
    <xf numFmtId="0" fontId="8" fillId="4" borderId="16" xfId="0" applyFont="1" applyFill="1" applyBorder="1"/>
    <xf numFmtId="0" fontId="8" fillId="4" borderId="9" xfId="0" applyFont="1" applyFill="1" applyBorder="1"/>
    <xf numFmtId="0" fontId="8" fillId="4" borderId="10" xfId="0" applyFont="1" applyFill="1" applyBorder="1"/>
    <xf numFmtId="0" fontId="8" fillId="5" borderId="16" xfId="0" applyFont="1" applyFill="1" applyBorder="1" applyAlignment="1">
      <alignment wrapText="1"/>
    </xf>
    <xf numFmtId="0" fontId="8" fillId="5" borderId="9" xfId="0" applyFont="1" applyFill="1" applyBorder="1" applyAlignment="1">
      <alignment wrapText="1"/>
    </xf>
    <xf numFmtId="0" fontId="8" fillId="5" borderId="10" xfId="0" applyFont="1" applyFill="1" applyBorder="1" applyAlignment="1">
      <alignment wrapText="1"/>
    </xf>
    <xf numFmtId="0" fontId="8" fillId="5" borderId="6" xfId="0" applyFont="1" applyFill="1" applyBorder="1"/>
    <xf numFmtId="0" fontId="8" fillId="5" borderId="7" xfId="0" applyFont="1" applyFill="1" applyBorder="1"/>
    <xf numFmtId="0" fontId="10" fillId="4" borderId="1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0" fillId="4" borderId="2" xfId="0" applyFont="1" applyFill="1" applyBorder="1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6FBF8"/>
        </patternFill>
      </fill>
    </dxf>
    <dxf>
      <font>
        <b/>
        <color rgb="FFB42318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[Portfolio_Project_1_Retail_Sales.xlsx]Analysis!PivotTable5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Analysis!$G$35:$G$61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Analysis!$H$35:$H$61</c:f>
              <c:numCache>
                <c:formatCode>\£#,##0.00;[Red]\(\£#,##0.00\);\-</c:formatCode>
                <c:ptCount val="24"/>
                <c:pt idx="0">
                  <c:v>2830.2500000000009</c:v>
                </c:pt>
                <c:pt idx="1">
                  <c:v>2529.059999999999</c:v>
                </c:pt>
                <c:pt idx="2">
                  <c:v>3170.4799999999977</c:v>
                </c:pt>
                <c:pt idx="3">
                  <c:v>2194.56</c:v>
                </c:pt>
                <c:pt idx="4">
                  <c:v>2892.1399999999994</c:v>
                </c:pt>
                <c:pt idx="5">
                  <c:v>2578.5399999999995</c:v>
                </c:pt>
                <c:pt idx="6">
                  <c:v>2582.9899999999984</c:v>
                </c:pt>
                <c:pt idx="7">
                  <c:v>2440.9999999999991</c:v>
                </c:pt>
                <c:pt idx="8">
                  <c:v>4160.8699999999963</c:v>
                </c:pt>
                <c:pt idx="9">
                  <c:v>3408.8499999999976</c:v>
                </c:pt>
                <c:pt idx="10">
                  <c:v>4028.3899999999976</c:v>
                </c:pt>
                <c:pt idx="11">
                  <c:v>2003.4700000000003</c:v>
                </c:pt>
                <c:pt idx="12">
                  <c:v>2542.27</c:v>
                </c:pt>
                <c:pt idx="13">
                  <c:v>1444.7500000000005</c:v>
                </c:pt>
                <c:pt idx="14">
                  <c:v>2905.51</c:v>
                </c:pt>
                <c:pt idx="15">
                  <c:v>2225.2900000000004</c:v>
                </c:pt>
                <c:pt idx="16">
                  <c:v>3362.2200000000003</c:v>
                </c:pt>
                <c:pt idx="17">
                  <c:v>3520.0100000000007</c:v>
                </c:pt>
                <c:pt idx="18">
                  <c:v>2161.1800000000007</c:v>
                </c:pt>
                <c:pt idx="19">
                  <c:v>1929.6200000000003</c:v>
                </c:pt>
                <c:pt idx="20">
                  <c:v>1692.93</c:v>
                </c:pt>
                <c:pt idx="21">
                  <c:v>3263.84</c:v>
                </c:pt>
                <c:pt idx="22">
                  <c:v>3920.0699999999988</c:v>
                </c:pt>
                <c:pt idx="23">
                  <c:v>4150.2099999999991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4-411C-B464-B75E8AA5E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109663"/>
        <c:axId val="463354351"/>
      </c:lineChart>
      <c:catAx>
        <c:axId val="46810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54351"/>
        <c:crosses val="autoZero"/>
        <c:auto val="1"/>
        <c:lblAlgn val="ctr"/>
        <c:lblOffset val="100"/>
        <c:noMultiLvlLbl val="0"/>
      </c:catAx>
      <c:valAx>
        <c:axId val="4633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.00;[Red]\(\£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0966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[Portfolio_Project_1_Retail_Sales.xlsx]Analysis!PivotTable3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Region</a:t>
            </a:r>
          </a:p>
        </c:rich>
      </c:tx>
      <c:layout>
        <c:manualLayout>
          <c:xMode val="edge"/>
          <c:yMode val="edge"/>
          <c:x val="0.37861163906235856"/>
          <c:y val="8.7831804529588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Analysis!$A$35:$A$46</c:f>
              <c:strCache>
                <c:ptCount val="11"/>
                <c:pt idx="0">
                  <c:v>Yorkshire</c:v>
                </c:pt>
                <c:pt idx="1">
                  <c:v>North West</c:v>
                </c:pt>
                <c:pt idx="2">
                  <c:v>South East</c:v>
                </c:pt>
                <c:pt idx="3">
                  <c:v>London</c:v>
                </c:pt>
                <c:pt idx="4">
                  <c:v>Midlands</c:v>
                </c:pt>
                <c:pt idx="5">
                  <c:v>Scotland</c:v>
                </c:pt>
                <c:pt idx="6">
                  <c:v>South West</c:v>
                </c:pt>
                <c:pt idx="7">
                  <c:v>Wales</c:v>
                </c:pt>
                <c:pt idx="8">
                  <c:v>East</c:v>
                </c:pt>
                <c:pt idx="9">
                  <c:v>North East</c:v>
                </c:pt>
                <c:pt idx="10">
                  <c:v>Northern Ireland</c:v>
                </c:pt>
              </c:strCache>
            </c:strRef>
          </c:cat>
          <c:val>
            <c:numRef>
              <c:f>Analysis!$B$35:$B$46</c:f>
              <c:numCache>
                <c:formatCode>"£"#,##0.00</c:formatCode>
                <c:ptCount val="11"/>
                <c:pt idx="0">
                  <c:v>12909.849999999989</c:v>
                </c:pt>
                <c:pt idx="1">
                  <c:v>10515.119999999994</c:v>
                </c:pt>
                <c:pt idx="2">
                  <c:v>10077.519999999997</c:v>
                </c:pt>
                <c:pt idx="3">
                  <c:v>10059.270000000002</c:v>
                </c:pt>
                <c:pt idx="4">
                  <c:v>7206.239999999998</c:v>
                </c:pt>
                <c:pt idx="5">
                  <c:v>4943.4599999999982</c:v>
                </c:pt>
                <c:pt idx="6">
                  <c:v>3588.81</c:v>
                </c:pt>
                <c:pt idx="7">
                  <c:v>3566.97</c:v>
                </c:pt>
                <c:pt idx="8">
                  <c:v>3261.66</c:v>
                </c:pt>
                <c:pt idx="9">
                  <c:v>1075.22</c:v>
                </c:pt>
                <c:pt idx="10">
                  <c:v>734.38000000000011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0-4B7F-AD4E-502756009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038735"/>
        <c:axId val="463398511"/>
      </c:barChart>
      <c:catAx>
        <c:axId val="88603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98511"/>
        <c:crosses val="autoZero"/>
        <c:auto val="1"/>
        <c:lblAlgn val="ctr"/>
        <c:lblOffset val="100"/>
        <c:tickLblSkip val="1"/>
        <c:noMultiLvlLbl val="0"/>
      </c:catAx>
      <c:valAx>
        <c:axId val="46339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0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26368554063367"/>
          <c:y val="0.40795464999864706"/>
          <c:w val="0.14997946211630706"/>
          <c:h val="0.19158156776794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[Portfolio_Project_1_Retail_Sales.xlsx]Analysis!PivotTable4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Analysis!$D$35:$D$40</c:f>
              <c:strCache>
                <c:ptCount val="5"/>
                <c:pt idx="0">
                  <c:v>Electronics</c:v>
                </c:pt>
                <c:pt idx="1">
                  <c:v>Home &amp; Kitchen</c:v>
                </c:pt>
                <c:pt idx="2">
                  <c:v>Outdoor</c:v>
                </c:pt>
                <c:pt idx="3">
                  <c:v>Fitness</c:v>
                </c:pt>
                <c:pt idx="4">
                  <c:v>Office</c:v>
                </c:pt>
              </c:strCache>
            </c:strRef>
          </c:cat>
          <c:val>
            <c:numRef>
              <c:f>Analysis!$E$35:$E$40</c:f>
              <c:numCache>
                <c:formatCode>\£#,##0.00;[Red]\(\£#,##0.00\);\-</c:formatCode>
                <c:ptCount val="5"/>
                <c:pt idx="0">
                  <c:v>6314.800000000002</c:v>
                </c:pt>
                <c:pt idx="1">
                  <c:v>3564.6500000000005</c:v>
                </c:pt>
                <c:pt idx="2">
                  <c:v>3456.97</c:v>
                </c:pt>
                <c:pt idx="3">
                  <c:v>3389.860000000001</c:v>
                </c:pt>
                <c:pt idx="4">
                  <c:v>3340.2500000000036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1-49D4-AA10-F3317490D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2305839"/>
        <c:axId val="994535919"/>
      </c:barChart>
      <c:catAx>
        <c:axId val="8723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535919"/>
        <c:crosses val="autoZero"/>
        <c:auto val="1"/>
        <c:lblAlgn val="ctr"/>
        <c:lblOffset val="100"/>
        <c:noMultiLvlLbl val="0"/>
      </c:catAx>
      <c:valAx>
        <c:axId val="9945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.00;[Red]\(\£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[Portfolio_Project_1_Retail_Sales.xlsx]Analysis!PivotTable8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Analysis!$F$65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Analysis!$E$66:$E$70</c:f>
              <c:strCache>
                <c:ptCount val="4"/>
                <c:pt idx="0">
                  <c:v>Online</c:v>
                </c:pt>
                <c:pt idx="1">
                  <c:v>Retail Store</c:v>
                </c:pt>
                <c:pt idx="2">
                  <c:v>Marketplace</c:v>
                </c:pt>
                <c:pt idx="3">
                  <c:v>Phone</c:v>
                </c:pt>
              </c:strCache>
            </c:strRef>
          </c:cat>
          <c:val>
            <c:numRef>
              <c:f>Analysis!$F$66:$F$70</c:f>
              <c:numCache>
                <c:formatCode>\£#,##0.00;[Red]\(\£#,##0.00\);\-</c:formatCode>
                <c:ptCount val="4"/>
                <c:pt idx="0">
                  <c:v>31761.279999999955</c:v>
                </c:pt>
                <c:pt idx="1">
                  <c:v>20193.259999999969</c:v>
                </c:pt>
                <c:pt idx="2">
                  <c:v>9341.7599999999966</c:v>
                </c:pt>
                <c:pt idx="3">
                  <c:v>6642.2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A-4A20-8350-EA0C2D904DE1}"/>
            </c:ext>
          </c:extLst>
        </c:ser>
        <c:ser>
          <c:idx val="1"/>
          <c:order val="1"/>
          <c:tx>
            <c:strRef>
              <c:f>Analysis!$G$65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Analysis!$E$66:$E$70</c:f>
              <c:strCache>
                <c:ptCount val="4"/>
                <c:pt idx="0">
                  <c:v>Online</c:v>
                </c:pt>
                <c:pt idx="1">
                  <c:v>Retail Store</c:v>
                </c:pt>
                <c:pt idx="2">
                  <c:v>Marketplace</c:v>
                </c:pt>
                <c:pt idx="3">
                  <c:v>Phone</c:v>
                </c:pt>
              </c:strCache>
            </c:strRef>
          </c:cat>
          <c:val>
            <c:numRef>
              <c:f>Analysis!$G$66:$G$70</c:f>
              <c:numCache>
                <c:formatCode>\£#,##0.00;[Red]\(\£#,##0.00\);\-</c:formatCode>
                <c:ptCount val="4"/>
                <c:pt idx="0">
                  <c:v>10048.249999999987</c:v>
                </c:pt>
                <c:pt idx="1">
                  <c:v>5734.2500000000009</c:v>
                </c:pt>
                <c:pt idx="2">
                  <c:v>2230.9999999999986</c:v>
                </c:pt>
                <c:pt idx="3">
                  <c:v>2053.0300000000002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3A-4A20-8350-EA0C2D904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27871"/>
        <c:axId val="994466799"/>
      </c:barChart>
      <c:catAx>
        <c:axId val="8742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466799"/>
        <c:crosses val="autoZero"/>
        <c:auto val="1"/>
        <c:lblAlgn val="ctr"/>
        <c:lblOffset val="100"/>
        <c:noMultiLvlLbl val="0"/>
      </c:catAx>
      <c:valAx>
        <c:axId val="99446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£#,##0.00;[Red]\(\£#,##0.0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2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33619</xdr:colOff>
      <xdr:row>10</xdr:row>
      <xdr:rowOff>22412</xdr:rowOff>
    </xdr:from>
    <xdr:to>
      <xdr:col>6</xdr:col>
      <xdr:colOff>885826</xdr:colOff>
      <xdr:row>18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01C8F3-D441-4D5B-A9AC-D85A88730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104776</xdr:colOff>
      <xdr:row>9</xdr:row>
      <xdr:rowOff>28575</xdr:rowOff>
    </xdr:from>
    <xdr:to>
      <xdr:col>12</xdr:col>
      <xdr:colOff>904876</xdr:colOff>
      <xdr:row>18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37D1B3-07AD-498D-A29D-1BA0316CB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78441</xdr:colOff>
      <xdr:row>23</xdr:row>
      <xdr:rowOff>11206</xdr:rowOff>
    </xdr:from>
    <xdr:to>
      <xdr:col>6</xdr:col>
      <xdr:colOff>885824</xdr:colOff>
      <xdr:row>31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303F6A-0DAF-413E-84FE-0E1BC5BA4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112059</xdr:colOff>
      <xdr:row>22</xdr:row>
      <xdr:rowOff>67235</xdr:rowOff>
    </xdr:from>
    <xdr:to>
      <xdr:col>12</xdr:col>
      <xdr:colOff>876300</xdr:colOff>
      <xdr:row>31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B3351A-4B97-4E5F-9F1B-96BC2F2B3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4762</xdr:rowOff>
    </xdr:from>
    <xdr:to>
      <xdr:col>12</xdr:col>
      <xdr:colOff>895350</xdr:colOff>
      <xdr:row>35</xdr:row>
      <xdr:rowOff>238125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486D78-BDD1-6C66-A5B4-80AE5634A114}"/>
            </a:ext>
          </a:extLst>
        </xdr:cNvPr>
        <xdr:cNvSpPr txBox="1"/>
      </xdr:nvSpPr>
      <xdr:spPr>
        <a:xfrm>
          <a:off x="200025" y="7300912"/>
          <a:ext cx="11163300" cy="233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Prioritise Online sales and Electronics inventory. Online generated £31,761 in revenue and £10,048 in profit, while Electronics produced £6,315 in profit.</a:t>
          </a:r>
        </a:p>
      </xdr:txBody>
    </xdr:sp>
    <xdr:clientData/>
  </xdr:twoCellAnchor>
  <xdr:twoCellAnchor>
    <xdr:from>
      <xdr:col>1</xdr:col>
      <xdr:colOff>0</xdr:colOff>
      <xdr:row>35</xdr:row>
      <xdr:rowOff>328612</xdr:rowOff>
    </xdr:from>
    <xdr:to>
      <xdr:col>12</xdr:col>
      <xdr:colOff>895350</xdr:colOff>
      <xdr:row>36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D3C1CBA-1A12-4C22-99C4-06FF402B3890}"/>
            </a:ext>
          </a:extLst>
        </xdr:cNvPr>
        <xdr:cNvSpPr txBox="1"/>
      </xdr:nvSpPr>
      <xdr:spPr>
        <a:xfrm>
          <a:off x="200025" y="7624762"/>
          <a:ext cx="11163300" cy="233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Review loss-making transactions. The weakest line lost £7.20, so investigate discounts, supplier costs and channel fees.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n Sahni" refreshedDate="46296.570023842592" createdVersion="8" refreshedVersion="8" minRefreshableVersion="3" recordCount="900" xr:uid="{380F518F-7DE8-4EA1-86CA-41DBC3CCB499}">
  <cacheSource type="worksheet">
    <worksheetSource name="RetailSalesData"/>
  </cacheSource>
  <cacheFields count="17">
    <cacheField name="Order ID" numFmtId="0">
      <sharedItems/>
    </cacheField>
    <cacheField name="Order Date" numFmtId="164">
      <sharedItems containsSemiMixedTypes="0" containsNonDate="0" containsDate="1" containsString="0" minDate="2024-01-01T12:00:00" maxDate="2025-12-31T12:00:00" count="427">
        <d v="2024-01-01T12:00:00"/>
        <d v="2024-01-04T12:00:00"/>
        <d v="2024-01-05T12:00:00"/>
        <d v="2024-01-06T12:00:00"/>
        <d v="2024-01-08T12:00:00"/>
        <d v="2024-01-09T12:00:00"/>
        <d v="2024-01-11T12:00:00"/>
        <d v="2024-01-12T12:00:00"/>
        <d v="2024-01-15T12:00:00"/>
        <d v="2024-01-17T12:00:00"/>
        <d v="2024-01-18T12:00:00"/>
        <d v="2024-01-19T12:00:00"/>
        <d v="2024-01-20T12:00:00"/>
        <d v="2024-01-21T12:00:00"/>
        <d v="2024-01-22T12:00:00"/>
        <d v="2024-01-24T12:00:00"/>
        <d v="2024-01-25T12:00:00"/>
        <d v="2024-02-02T12:00:00"/>
        <d v="2024-02-04T12:00:00"/>
        <d v="2024-02-06T12:00:00"/>
        <d v="2024-02-07T12:00:00"/>
        <d v="2024-02-09T12:00:00"/>
        <d v="2024-02-11T12:00:00"/>
        <d v="2024-02-13T12:00:00"/>
        <d v="2024-02-15T12:00:00"/>
        <d v="2024-02-16T12:00:00"/>
        <d v="2024-02-18T12:00:00"/>
        <d v="2024-02-19T12:00:00"/>
        <d v="2024-02-20T12:00:00"/>
        <d v="2024-02-22T12:00:00"/>
        <d v="2024-02-26T12:00:00"/>
        <d v="2024-02-28T12:00:00"/>
        <d v="2024-03-03T12:00:00"/>
        <d v="2024-03-04T12:00:00"/>
        <d v="2024-03-06T12:00:00"/>
        <d v="2024-03-09T12:00:00"/>
        <d v="2024-03-11T12:00:00"/>
        <d v="2024-03-12T12:00:00"/>
        <d v="2024-03-13T12:00:00"/>
        <d v="2024-03-15T12:00:00"/>
        <d v="2024-03-16T12:00:00"/>
        <d v="2024-03-18T12:00:00"/>
        <d v="2024-03-20T12:00:00"/>
        <d v="2024-03-22T12:00:00"/>
        <d v="2024-03-24T12:00:00"/>
        <d v="2024-03-25T12:00:00"/>
        <d v="2024-03-26T12:00:00"/>
        <d v="2024-03-28T12:00:00"/>
        <d v="2024-03-29T12:00:00"/>
        <d v="2024-03-30T12:00:00"/>
        <d v="2024-03-31T12:00:00"/>
        <d v="2024-04-01T12:00:00"/>
        <d v="2024-04-02T12:00:00"/>
        <d v="2024-04-04T12:00:00"/>
        <d v="2024-04-05T12:00:00"/>
        <d v="2024-04-07T12:00:00"/>
        <d v="2024-04-09T12:00:00"/>
        <d v="2024-04-12T12:00:00"/>
        <d v="2024-04-15T12:00:00"/>
        <d v="2024-04-17T12:00:00"/>
        <d v="2024-04-19T12:00:00"/>
        <d v="2024-04-20T12:00:00"/>
        <d v="2024-04-23T12:00:00"/>
        <d v="2024-04-25T12:00:00"/>
        <d v="2024-04-27T12:00:00"/>
        <d v="2024-04-28T12:00:00"/>
        <d v="2024-04-30T12:00:00"/>
        <d v="2024-05-01T12:00:00"/>
        <d v="2024-05-02T12:00:00"/>
        <d v="2024-05-03T12:00:00"/>
        <d v="2024-05-05T12:00:00"/>
        <d v="2024-05-07T12:00:00"/>
        <d v="2024-05-09T12:00:00"/>
        <d v="2024-05-10T12:00:00"/>
        <d v="2024-05-12T12:00:00"/>
        <d v="2024-05-14T12:00:00"/>
        <d v="2024-05-18T12:00:00"/>
        <d v="2024-05-21T12:00:00"/>
        <d v="2024-05-23T12:00:00"/>
        <d v="2024-05-25T12:00:00"/>
        <d v="2024-05-26T12:00:00"/>
        <d v="2024-05-27T12:00:00"/>
        <d v="2024-05-28T12:00:00"/>
        <d v="2024-05-29T12:00:00"/>
        <d v="2024-05-30T12:00:00"/>
        <d v="2024-05-31T12:00:00"/>
        <d v="2024-06-02T12:00:00"/>
        <d v="2024-06-04T12:00:00"/>
        <d v="2024-06-05T12:00:00"/>
        <d v="2024-06-06T12:00:00"/>
        <d v="2024-06-08T12:00:00"/>
        <d v="2024-06-09T12:00:00"/>
        <d v="2024-06-11T12:00:00"/>
        <d v="2024-06-12T12:00:00"/>
        <d v="2024-06-13T12:00:00"/>
        <d v="2024-06-14T12:00:00"/>
        <d v="2024-06-16T12:00:00"/>
        <d v="2024-06-18T12:00:00"/>
        <d v="2024-06-19T12:00:00"/>
        <d v="2024-06-21T12:00:00"/>
        <d v="2024-06-24T12:00:00"/>
        <d v="2024-06-25T12:00:00"/>
        <d v="2024-06-26T12:00:00"/>
        <d v="2024-06-27T12:00:00"/>
        <d v="2024-07-02T12:00:00"/>
        <d v="2024-07-03T12:00:00"/>
        <d v="2024-07-07T12:00:00"/>
        <d v="2024-07-12T12:00:00"/>
        <d v="2024-07-16T12:00:00"/>
        <d v="2024-07-19T12:00:00"/>
        <d v="2024-07-22T12:00:00"/>
        <d v="2024-07-23T12:00:00"/>
        <d v="2024-07-24T12:00:00"/>
        <d v="2024-07-25T12:00:00"/>
        <d v="2024-07-27T12:00:00"/>
        <d v="2024-07-28T12:00:00"/>
        <d v="2024-07-29T12:00:00"/>
        <d v="2024-07-30T12:00:00"/>
        <d v="2024-07-31T12:00:00"/>
        <d v="2024-08-02T12:00:00"/>
        <d v="2024-08-04T12:00:00"/>
        <d v="2024-08-07T12:00:00"/>
        <d v="2024-08-08T12:00:00"/>
        <d v="2024-08-12T12:00:00"/>
        <d v="2024-08-13T12:00:00"/>
        <d v="2024-08-14T12:00:00"/>
        <d v="2024-08-16T12:00:00"/>
        <d v="2024-08-17T12:00:00"/>
        <d v="2024-08-19T12:00:00"/>
        <d v="2024-08-21T12:00:00"/>
        <d v="2024-08-23T12:00:00"/>
        <d v="2024-08-24T12:00:00"/>
        <d v="2024-08-25T12:00:00"/>
        <d v="2024-08-26T12:00:00"/>
        <d v="2024-08-27T12:00:00"/>
        <d v="2024-08-29T12:00:00"/>
        <d v="2024-08-31T12:00:00"/>
        <d v="2024-09-02T12:00:00"/>
        <d v="2024-09-04T12:00:00"/>
        <d v="2024-09-06T12:00:00"/>
        <d v="2024-09-07T12:00:00"/>
        <d v="2024-09-08T12:00:00"/>
        <d v="2024-09-10T12:00:00"/>
        <d v="2024-09-11T12:00:00"/>
        <d v="2024-09-12T12:00:00"/>
        <d v="2024-09-13T12:00:00"/>
        <d v="2024-09-14T12:00:00"/>
        <d v="2024-09-15T12:00:00"/>
        <d v="2024-09-16T12:00:00"/>
        <d v="2024-09-17T12:00:00"/>
        <d v="2024-09-18T12:00:00"/>
        <d v="2024-09-20T12:00:00"/>
        <d v="2024-09-21T12:00:00"/>
        <d v="2024-09-23T12:00:00"/>
        <d v="2024-09-25T12:00:00"/>
        <d v="2024-09-27T12:00:00"/>
        <d v="2024-09-28T12:00:00"/>
        <d v="2024-09-29T12:00:00"/>
        <d v="2024-09-30T12:00:00"/>
        <d v="2024-10-01T12:00:00"/>
        <d v="2024-10-03T12:00:00"/>
        <d v="2024-10-04T12:00:00"/>
        <d v="2024-10-05T12:00:00"/>
        <d v="2024-10-07T12:00:00"/>
        <d v="2024-10-08T12:00:00"/>
        <d v="2024-10-09T12:00:00"/>
        <d v="2024-10-11T12:00:00"/>
        <d v="2024-10-12T12:00:00"/>
        <d v="2024-10-13T12:00:00"/>
        <d v="2024-10-14T12:00:00"/>
        <d v="2024-10-16T12:00:00"/>
        <d v="2024-10-17T12:00:00"/>
        <d v="2024-10-18T12:00:00"/>
        <d v="2024-10-19T12:00:00"/>
        <d v="2024-10-23T12:00:00"/>
        <d v="2024-10-24T12:00:00"/>
        <d v="2024-10-25T12:00:00"/>
        <d v="2024-10-26T12:00:00"/>
        <d v="2024-10-27T12:00:00"/>
        <d v="2024-10-28T12:00:00"/>
        <d v="2024-10-29T12:00:00"/>
        <d v="2024-10-30T12:00:00"/>
        <d v="2024-10-31T12:00:00"/>
        <d v="2024-11-04T12:00:00"/>
        <d v="2024-11-06T12:00:00"/>
        <d v="2024-11-07T12:00:00"/>
        <d v="2024-11-09T12:00:00"/>
        <d v="2024-11-11T12:00:00"/>
        <d v="2024-11-13T12:00:00"/>
        <d v="2024-11-14T12:00:00"/>
        <d v="2024-11-15T12:00:00"/>
        <d v="2024-11-16T12:00:00"/>
        <d v="2024-11-17T12:00:00"/>
        <d v="2024-11-18T12:00:00"/>
        <d v="2024-11-20T12:00:00"/>
        <d v="2024-11-21T12:00:00"/>
        <d v="2024-11-22T12:00:00"/>
        <d v="2024-11-23T12:00:00"/>
        <d v="2024-11-24T12:00:00"/>
        <d v="2024-11-25T12:00:00"/>
        <d v="2024-11-27T12:00:00"/>
        <d v="2024-11-28T12:00:00"/>
        <d v="2024-11-29T12:00:00"/>
        <d v="2024-11-30T12:00:00"/>
        <d v="2024-12-01T12:00:00"/>
        <d v="2024-12-05T12:00:00"/>
        <d v="2024-12-07T12:00:00"/>
        <d v="2024-12-08T12:00:00"/>
        <d v="2024-12-09T12:00:00"/>
        <d v="2024-12-10T12:00:00"/>
        <d v="2024-12-11T12:00:00"/>
        <d v="2024-12-14T12:00:00"/>
        <d v="2024-12-15T12:00:00"/>
        <d v="2024-12-16T12:00:00"/>
        <d v="2024-12-17T12:00:00"/>
        <d v="2024-12-19T12:00:00"/>
        <d v="2024-12-20T12:00:00"/>
        <d v="2024-12-22T12:00:00"/>
        <d v="2024-12-24T12:00:00"/>
        <d v="2024-12-26T12:00:00"/>
        <d v="2024-12-27T12:00:00"/>
        <d v="2024-12-28T12:00:00"/>
        <d v="2024-12-30T12:00:00"/>
        <d v="2024-12-31T12:00:00"/>
        <d v="2025-01-05T12:00:00"/>
        <d v="2025-01-08T12:00:00"/>
        <d v="2025-01-10T12:00:00"/>
        <d v="2025-01-13T12:00:00"/>
        <d v="2025-01-16T12:00:00"/>
        <d v="2025-01-19T12:00:00"/>
        <d v="2025-01-20T12:00:00"/>
        <d v="2025-01-21T12:00:00"/>
        <d v="2025-01-25T12:00:00"/>
        <d v="2025-01-26T12:00:00"/>
        <d v="2025-01-28T12:00:00"/>
        <d v="2025-01-29T12:00:00"/>
        <d v="2025-01-31T12:00:00"/>
        <d v="2025-02-01T12:00:00"/>
        <d v="2025-02-02T12:00:00"/>
        <d v="2025-02-04T12:00:00"/>
        <d v="2025-02-05T12:00:00"/>
        <d v="2025-02-07T12:00:00"/>
        <d v="2025-02-12T12:00:00"/>
        <d v="2025-02-15T12:00:00"/>
        <d v="2025-02-17T12:00:00"/>
        <d v="2025-02-19T12:00:00"/>
        <d v="2025-02-22T12:00:00"/>
        <d v="2025-02-23T12:00:00"/>
        <d v="2025-02-24T12:00:00"/>
        <d v="2025-02-25T12:00:00"/>
        <d v="2025-02-26T12:00:00"/>
        <d v="2025-02-27T12:00:00"/>
        <d v="2025-02-28T12:00:00"/>
        <d v="2025-03-01T12:00:00"/>
        <d v="2025-03-03T12:00:00"/>
        <d v="2025-03-04T12:00:00"/>
        <d v="2025-03-07T12:00:00"/>
        <d v="2025-03-09T12:00:00"/>
        <d v="2025-03-11T12:00:00"/>
        <d v="2025-03-12T12:00:00"/>
        <d v="2025-03-14T12:00:00"/>
        <d v="2025-03-15T12:00:00"/>
        <d v="2025-03-17T12:00:00"/>
        <d v="2025-03-19T12:00:00"/>
        <d v="2025-03-20T12:00:00"/>
        <d v="2025-03-21T12:00:00"/>
        <d v="2025-03-22T12:00:00"/>
        <d v="2025-03-23T12:00:00"/>
        <d v="2025-03-24T12:00:00"/>
        <d v="2025-03-25T12:00:00"/>
        <d v="2025-03-29T12:00:00"/>
        <d v="2025-03-31T12:00:00"/>
        <d v="2025-04-01T12:00:00"/>
        <d v="2025-04-03T12:00:00"/>
        <d v="2025-04-05T12:00:00"/>
        <d v="2025-04-06T12:00:00"/>
        <d v="2025-04-08T12:00:00"/>
        <d v="2025-04-12T12:00:00"/>
        <d v="2025-04-14T12:00:00"/>
        <d v="2025-04-15T12:00:00"/>
        <d v="2025-04-17T12:00:00"/>
        <d v="2025-04-18T12:00:00"/>
        <d v="2025-04-20T12:00:00"/>
        <d v="2025-04-22T12:00:00"/>
        <d v="2025-04-24T12:00:00"/>
        <d v="2025-04-25T12:00:00"/>
        <d v="2025-04-26T12:00:00"/>
        <d v="2025-04-29T12:00:00"/>
        <d v="2025-04-30T12:00:00"/>
        <d v="2025-05-03T12:00:00"/>
        <d v="2025-05-04T12:00:00"/>
        <d v="2025-05-07T12:00:00"/>
        <d v="2025-05-10T12:00:00"/>
        <d v="2025-05-11T12:00:00"/>
        <d v="2025-05-12T12:00:00"/>
        <d v="2025-05-13T12:00:00"/>
        <d v="2025-05-14T12:00:00"/>
        <d v="2025-05-15T12:00:00"/>
        <d v="2025-05-16T12:00:00"/>
        <d v="2025-05-18T12:00:00"/>
        <d v="2025-05-20T12:00:00"/>
        <d v="2025-05-22T12:00:00"/>
        <d v="2025-05-24T12:00:00"/>
        <d v="2025-05-30T12:00:00"/>
        <d v="2025-06-03T12:00:00"/>
        <d v="2025-06-05T12:00:00"/>
        <d v="2025-06-06T12:00:00"/>
        <d v="2025-06-07T12:00:00"/>
        <d v="2025-06-08T12:00:00"/>
        <d v="2025-06-10T12:00:00"/>
        <d v="2025-06-11T12:00:00"/>
        <d v="2025-06-14T12:00:00"/>
        <d v="2025-06-16T12:00:00"/>
        <d v="2025-06-17T12:00:00"/>
        <d v="2025-06-21T12:00:00"/>
        <d v="2025-06-24T12:00:00"/>
        <d v="2025-06-30T12:00:00"/>
        <d v="2025-07-01T12:00:00"/>
        <d v="2025-07-03T12:00:00"/>
        <d v="2025-07-04T12:00:00"/>
        <d v="2025-07-06T12:00:00"/>
        <d v="2025-07-07T12:00:00"/>
        <d v="2025-07-09T12:00:00"/>
        <d v="2025-07-12T12:00:00"/>
        <d v="2025-07-13T12:00:00"/>
        <d v="2025-07-15T12:00:00"/>
        <d v="2025-07-17T12:00:00"/>
        <d v="2025-07-18T12:00:00"/>
        <d v="2025-07-20T12:00:00"/>
        <d v="2025-07-23T12:00:00"/>
        <d v="2025-07-25T12:00:00"/>
        <d v="2025-07-30T12:00:00"/>
        <d v="2025-07-31T12:00:00"/>
        <d v="2025-08-02T12:00:00"/>
        <d v="2025-08-03T12:00:00"/>
        <d v="2025-08-04T12:00:00"/>
        <d v="2025-08-05T12:00:00"/>
        <d v="2025-08-06T12:00:00"/>
        <d v="2025-08-07T12:00:00"/>
        <d v="2025-08-08T12:00:00"/>
        <d v="2025-08-09T12:00:00"/>
        <d v="2025-08-12T12:00:00"/>
        <d v="2025-08-19T12:00:00"/>
        <d v="2025-08-20T12:00:00"/>
        <d v="2025-08-23T12:00:00"/>
        <d v="2025-08-24T12:00:00"/>
        <d v="2025-08-25T12:00:00"/>
        <d v="2025-09-04T12:00:00"/>
        <d v="2025-09-06T12:00:00"/>
        <d v="2025-09-07T12:00:00"/>
        <d v="2025-09-08T12:00:00"/>
        <d v="2025-09-13T12:00:00"/>
        <d v="2025-09-14T12:00:00"/>
        <d v="2025-09-15T12:00:00"/>
        <d v="2025-09-16T12:00:00"/>
        <d v="2025-09-17T12:00:00"/>
        <d v="2025-09-19T12:00:00"/>
        <d v="2025-09-21T12:00:00"/>
        <d v="2025-09-24T12:00:00"/>
        <d v="2025-09-25T12:00:00"/>
        <d v="2025-09-26T12:00:00"/>
        <d v="2025-09-27T12:00:00"/>
        <d v="2025-09-28T12:00:00"/>
        <d v="2025-09-29T12:00:00"/>
        <d v="2025-10-01T12:00:00"/>
        <d v="2025-10-02T12:00:00"/>
        <d v="2025-10-05T12:00:00"/>
        <d v="2025-10-06T12:00:00"/>
        <d v="2025-10-08T12:00:00"/>
        <d v="2025-10-09T12:00:00"/>
        <d v="2025-10-10T12:00:00"/>
        <d v="2025-10-13T12:00:00"/>
        <d v="2025-10-14T12:00:00"/>
        <d v="2025-10-16T12:00:00"/>
        <d v="2025-10-18T12:00:00"/>
        <d v="2025-10-19T12:00:00"/>
        <d v="2025-10-21T12:00:00"/>
        <d v="2025-10-23T12:00:00"/>
        <d v="2025-10-26T12:00:00"/>
        <d v="2025-10-27T12:00:00"/>
        <d v="2025-10-28T12:00:00"/>
        <d v="2025-10-29T12:00:00"/>
        <d v="2025-10-30T12:00:00"/>
        <d v="2025-10-31T12:00:00"/>
        <d v="2025-11-01T12:00:00"/>
        <d v="2025-11-02T12:00:00"/>
        <d v="2025-11-03T12:00:00"/>
        <d v="2025-11-04T12:00:00"/>
        <d v="2025-11-05T12:00:00"/>
        <d v="2025-11-06T12:00:00"/>
        <d v="2025-11-08T12:00:00"/>
        <d v="2025-11-09T12:00:00"/>
        <d v="2025-11-11T12:00:00"/>
        <d v="2025-11-13T12:00:00"/>
        <d v="2025-11-14T12:00:00"/>
        <d v="2025-11-16T12:00:00"/>
        <d v="2025-11-17T12:00:00"/>
        <d v="2025-11-19T12:00:00"/>
        <d v="2025-11-20T12:00:00"/>
        <d v="2025-11-21T12:00:00"/>
        <d v="2025-11-22T12:00:00"/>
        <d v="2025-11-24T12:00:00"/>
        <d v="2025-11-25T12:00:00"/>
        <d v="2025-11-27T12:00:00"/>
        <d v="2025-11-28T12:00:00"/>
        <d v="2025-11-29T12:00:00"/>
        <d v="2025-12-01T12:00:00"/>
        <d v="2025-12-03T12:00:00"/>
        <d v="2025-12-05T12:00:00"/>
        <d v="2025-12-06T12:00:00"/>
        <d v="2025-12-08T12:00:00"/>
        <d v="2025-12-09T12:00:00"/>
        <d v="2025-12-10T12:00:00"/>
        <d v="2025-12-12T12:00:00"/>
        <d v="2025-12-13T12:00:00"/>
        <d v="2025-12-16T12:00:00"/>
        <d v="2025-12-18T12:00:00"/>
        <d v="2025-12-19T12:00:00"/>
        <d v="2025-12-20T12:00:00"/>
        <d v="2025-12-22T12:00:00"/>
        <d v="2025-12-23T12:00:00"/>
        <d v="2025-12-24T12:00:00"/>
        <d v="2025-12-25T12:00:00"/>
        <d v="2025-12-26T12:00:00"/>
        <d v="2025-12-29T12:00:00"/>
        <d v="2025-12-30T12:00:00"/>
        <d v="2025-12-31T12:00:00"/>
      </sharedItems>
      <fieldGroup par="16"/>
    </cacheField>
    <cacheField name="Customer ID" numFmtId="0">
      <sharedItems/>
    </cacheField>
    <cacheField name="Customer Name" numFmtId="0">
      <sharedItems count="167">
        <s v="Amelia Roberts"/>
        <s v="Olivia Singh"/>
        <s v="Jessica Green"/>
        <s v="Amelia Edwards"/>
        <s v="Charlotte Martin"/>
        <s v="Alice Phillips"/>
        <s v="Mohammed Walker"/>
        <s v="Lucas Foster"/>
        <s v="Eleanor Hughes"/>
        <s v="Thomas Ahmed"/>
        <s v="Jessica Evans"/>
        <s v="Emily Edwards"/>
        <s v="Oscar Collins"/>
        <s v="Daniel Baker"/>
        <s v="Joseph King"/>
        <s v="Lily Collins"/>
        <s v="Emily Singh"/>
        <s v="Alice Campbell"/>
        <s v="Priya Smith"/>
        <s v="Lucas Roberts"/>
        <s v="Harry Thomas"/>
        <s v="Imogen Roberts"/>
        <s v="Thomas King"/>
        <s v="Joseph Patel"/>
        <s v="Zoe Lewis"/>
        <s v="William Walker"/>
        <s v="Olivia Foster"/>
        <s v="Amelia Shah"/>
        <s v="Hannah Morgan"/>
        <s v="James Evans"/>
        <s v="Jessica Miller"/>
        <s v="Lily Lewis"/>
        <s v="David Patel"/>
        <s v="Fatima Cooper"/>
        <s v="Maya Wilson"/>
        <s v="Amelia Martin"/>
        <s v="Noah Wilson"/>
        <s v="Grace Thomas"/>
        <s v="Samuel Martin"/>
        <s v="James Khan"/>
        <s v="Samuel Miller"/>
        <s v="Leo Robinson"/>
        <s v="Joseph Smith"/>
        <s v="Daniel Hughes"/>
        <s v="George Campbell"/>
        <s v="Imogen Morris"/>
        <s v="Priya Patel"/>
        <s v="Layla Lewis"/>
        <s v="Mohammed Robinson"/>
        <s v="Samuel Edwards"/>
        <s v="Emily Davies"/>
        <s v="Alice Brown"/>
        <s v="Freddie King"/>
        <s v="Charlotte Johnson"/>
        <s v="Ruby Harris"/>
        <s v="Charlotte Phillips"/>
        <s v="George Thomas"/>
        <s v="Maya Smith"/>
        <s v="Daniel Cooper"/>
        <s v="Jack Bennett"/>
        <s v="Ethan Smith"/>
        <s v="Oscar Lewis"/>
        <s v="Oscar Khan"/>
        <s v="Zoe Taylor"/>
        <s v="Aisha Clark"/>
        <s v="Sofia Robinson"/>
        <s v="Fatima Bennett"/>
        <s v="Priya Martin"/>
        <s v="William Khan"/>
        <s v="Olivia Carter"/>
        <s v="Ethan Patel"/>
        <s v="Mohammed Mitchell"/>
        <s v="Freddie Clark"/>
        <s v="Ethan Campbell"/>
        <s v="Mohammed Khan"/>
        <s v="Layla Thomas"/>
        <s v="Eleanor Morris"/>
        <s v="Zoe Harris"/>
        <s v="Emily Thomas"/>
        <s v="Olivia Clark"/>
        <s v="Mohammed Taylor"/>
        <s v="Imogen Carter"/>
        <s v="Aisha Hall"/>
        <s v="Chloe Green"/>
        <s v="Lucas Khan"/>
        <s v="Oliver Scott"/>
        <s v="Sofia Taylor"/>
        <s v="Ethan King"/>
        <s v="Freddie Scott"/>
        <s v="Maya Green"/>
        <s v="Noah Mitchell"/>
        <s v="Fatima Hall"/>
        <s v="Chloe Smith"/>
        <s v="Amelia Morris"/>
        <s v="Aisha Evans"/>
        <s v="Imogen Green"/>
        <s v="James Foster"/>
        <s v="Samuel Roberts"/>
        <s v="Charlotte Edwards"/>
        <s v="Leo Cooper"/>
        <s v="Grace Scott"/>
        <s v="William Green"/>
        <s v="Alice Patel"/>
        <s v="Zoe Phillips"/>
        <s v="Joseph Clark"/>
        <s v="Daniel Robinson"/>
        <s v="Maya Mitchell"/>
        <s v="Zara Singh"/>
        <s v="Jack Ahmed"/>
        <s v="Lucas Wilson"/>
        <s v="Isaac Carter"/>
        <s v="Mohammed Hall"/>
        <s v="Ethan Hall"/>
        <s v="Jack Johnson"/>
        <s v="Daniel Green"/>
        <s v="Emily Taylor"/>
        <s v="Eleanor Bennett"/>
        <s v="Thomas Miller"/>
        <s v="Olivia Wilson"/>
        <s v="Isaac Shah"/>
        <s v="Zoe Johnson"/>
        <s v="Ethan Phillips"/>
        <s v="Chloe Johnson"/>
        <s v="Isaac Roberts"/>
        <s v="Daniel Miller"/>
        <s v="Grace Harris"/>
        <s v="Emily Khan"/>
        <s v="Harry Evans"/>
        <s v="Layla Hughes"/>
        <s v="Eleanor Lewis"/>
        <s v="Oliver Morgan"/>
        <s v="Lily Wilson"/>
        <s v="Maya Taylor"/>
        <s v="Priya Baker"/>
        <s v="Lily Edwards"/>
        <s v="Amelia Lewis"/>
        <s v="Sofia Martin"/>
        <s v="Thomas Foster"/>
        <s v="Layla Evans"/>
        <s v="Jessica Khan"/>
        <s v="Ethan James"/>
        <s v="Aisha Hughes"/>
        <s v="Zara Edwards"/>
        <s v="Lucas Campbell"/>
        <s v="Mohammed Morris"/>
        <s v="Layla Morgan"/>
        <s v="Zara James"/>
        <s v="Mohammed Bennett"/>
        <s v="Lucas Ahmed"/>
        <s v="Freddie Baker"/>
        <s v="Harry Roberts"/>
        <s v="Leo Evans"/>
        <s v="Leo Patel"/>
        <s v="Leo Hall"/>
        <s v="Zara Shah"/>
        <s v="Maya Patel"/>
        <s v="Emily Jackson"/>
        <s v="Eleanor Mitchell"/>
        <s v="Zara Foster"/>
        <s v="Jessica Patel"/>
        <s v="Grace Robinson"/>
        <s v="Ethan Foster"/>
        <s v="Alice Hughes"/>
        <s v="Priya King"/>
        <s v="Joseph Hughes"/>
        <s v="Lucas Cooper"/>
        <s v="Freddie Patel"/>
      </sharedItems>
    </cacheField>
    <cacheField name="City" numFmtId="0">
      <sharedItems/>
    </cacheField>
    <cacheField name="Region" numFmtId="0">
      <sharedItems count="11">
        <s v="London"/>
        <s v="North West"/>
        <s v="Yorkshire"/>
        <s v="South East"/>
        <s v="Northern Ireland"/>
        <s v="Midlands"/>
        <s v="Scotland"/>
        <s v="South West"/>
        <s v="Wales"/>
        <s v="North East"/>
        <s v="East"/>
      </sharedItems>
    </cacheField>
    <cacheField name="Product" numFmtId="0">
      <sharedItems count="30">
        <s v="Foam Roller"/>
        <s v="Gel Pen Set"/>
        <s v="Hiking Backpack 30L"/>
        <s v="LED Desk Lamp"/>
        <s v="Filter Coffee Maker"/>
        <s v="Notebook Set"/>
        <s v="Insulated Sports Bottle"/>
        <s v="Wireless Mouse"/>
        <s v="Air Fryer"/>
        <s v="Electric Kettle"/>
        <s v="Mechanical Keyboard"/>
        <s v="Portable SSD 1TB"/>
        <s v="Resistance Band Set"/>
        <s v="Waterproof Picnic Blanket"/>
        <s v="Stainless Steel Travel Mug"/>
        <s v="Laptop Stand"/>
        <s v="Cordless Vacuum"/>
        <s v="Adjustable Dumbbell Set"/>
        <s v="Garden Tool Set"/>
        <s v="Noise-Cancelling Headphones"/>
        <s v="Printer Paper Pack"/>
        <s v="Two-Drawer Filing Cabinet"/>
        <s v="Camping Lantern"/>
        <s v="Adjustable Monitor Arm"/>
        <s v="USB-C Hub"/>
        <s v="Ergonomic Desk Chair"/>
        <s v="Cookware Set"/>
        <s v="Yoga Mat"/>
        <s v="Bluetooth Speaker"/>
        <s v="Full HD Webcam"/>
      </sharedItems>
    </cacheField>
    <cacheField name="Category" numFmtId="0">
      <sharedItems count="5">
        <s v="Fitness"/>
        <s v="Office"/>
        <s v="Outdoor"/>
        <s v="Home &amp; Kitchen"/>
        <s v="Electronics"/>
      </sharedItems>
    </cacheField>
    <cacheField name="Quantity" numFmtId="3">
      <sharedItems containsSemiMixedTypes="0" containsString="0" containsNumber="1" containsInteger="1" minValue="1" maxValue="6"/>
    </cacheField>
    <cacheField name="Unit Price" numFmtId="165">
      <sharedItems containsSemiMixedTypes="0" containsString="0" containsNumber="1" minValue="6.39" maxValue="203.99"/>
    </cacheField>
    <cacheField name="Revenue" numFmtId="165">
      <sharedItems containsSemiMixedTypes="0" containsString="0" containsNumber="1" minValue="6.39" maxValue="428.37"/>
    </cacheField>
    <cacheField name="Cost" numFmtId="165">
      <sharedItems containsSemiMixedTypes="0" containsString="0" containsNumber="1" minValue="3.95" maxValue="354.06"/>
    </cacheField>
    <cacheField name="Profit" numFmtId="165">
      <sharedItems containsSemiMixedTypes="0" containsString="0" containsNumber="1" minValue="-7.2" maxValue="102.16"/>
    </cacheField>
    <cacheField name="Payment Method" numFmtId="0">
      <sharedItems count="7">
        <s v="PayPal"/>
        <s v="Debit Card"/>
        <s v="Gift Card"/>
        <s v="Apple Pay"/>
        <s v="Credit Card"/>
        <s v="Bank Transfer"/>
        <s v="Cash"/>
      </sharedItems>
    </cacheField>
    <cacheField name="Sales Channel" numFmtId="0">
      <sharedItems count="4">
        <s v="Online"/>
        <s v="Retail Store"/>
        <s v="Marketplace"/>
        <s v="Phone"/>
      </sharedItems>
    </cacheField>
    <cacheField name="Months (Order Date)" numFmtId="0" databaseField="0">
      <fieldGroup base="1">
        <rangePr groupBy="months" startDate="2024-01-01T12:00:00" endDate="2025-12-31T12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5"/>
        </groupItems>
      </fieldGroup>
    </cacheField>
    <cacheField name="Years (Order Date)" numFmtId="0" databaseField="0">
      <fieldGroup base="1">
        <rangePr groupBy="years" startDate="2024-01-01T12:00:00" endDate="2025-12-31T12:00:00"/>
        <groupItems count="4">
          <s v="&lt;01/01/2024"/>
          <s v="2024"/>
          <s v="2025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ORD-2024-0001"/>
    <x v="0"/>
    <s v="CUST-0028"/>
    <x v="0"/>
    <s v="London"/>
    <x v="0"/>
    <x v="0"/>
    <x v="0"/>
    <n v="1"/>
    <n v="25.64"/>
    <n v="25.64"/>
    <n v="14.37"/>
    <n v="11.27"/>
    <x v="0"/>
    <x v="0"/>
  </r>
  <r>
    <s v="ORD-2024-0002"/>
    <x v="1"/>
    <s v="CUST-0005"/>
    <x v="1"/>
    <s v="Liverpool"/>
    <x v="1"/>
    <x v="1"/>
    <x v="1"/>
    <n v="2"/>
    <n v="8.99"/>
    <n v="17.98"/>
    <n v="8"/>
    <n v="9.98"/>
    <x v="1"/>
    <x v="0"/>
  </r>
  <r>
    <s v="ORD-2024-0003"/>
    <x v="1"/>
    <s v="CUST-0153"/>
    <x v="2"/>
    <s v="Leeds"/>
    <x v="2"/>
    <x v="2"/>
    <x v="2"/>
    <n v="3"/>
    <n v="66.489999999999995"/>
    <n v="199.47"/>
    <n v="139.05000000000001"/>
    <n v="60.42"/>
    <x v="1"/>
    <x v="0"/>
  </r>
  <r>
    <s v="ORD-2024-0004"/>
    <x v="2"/>
    <s v="CUST-0002"/>
    <x v="3"/>
    <s v="Sheffield"/>
    <x v="2"/>
    <x v="3"/>
    <x v="3"/>
    <n v="1"/>
    <n v="29.99"/>
    <n v="29.99"/>
    <n v="16.34"/>
    <n v="13.65"/>
    <x v="2"/>
    <x v="0"/>
  </r>
  <r>
    <s v="ORD-2024-0005"/>
    <x v="3"/>
    <s v="CUST-0010"/>
    <x v="4"/>
    <s v="Brighton"/>
    <x v="3"/>
    <x v="4"/>
    <x v="3"/>
    <n v="2"/>
    <n v="79.989999999999995"/>
    <n v="159.97999999999999"/>
    <n v="111.19"/>
    <n v="48.79"/>
    <x v="0"/>
    <x v="0"/>
  </r>
  <r>
    <s v="ORD-2024-0006"/>
    <x v="3"/>
    <s v="CUST-0047"/>
    <x v="5"/>
    <s v="London"/>
    <x v="0"/>
    <x v="5"/>
    <x v="1"/>
    <n v="1"/>
    <n v="11.04"/>
    <n v="11.04"/>
    <n v="6.34"/>
    <n v="4.7"/>
    <x v="3"/>
    <x v="1"/>
  </r>
  <r>
    <s v="ORD-2024-0007"/>
    <x v="3"/>
    <s v="CUST-0057"/>
    <x v="6"/>
    <s v="Brighton"/>
    <x v="3"/>
    <x v="6"/>
    <x v="0"/>
    <n v="2"/>
    <n v="14.99"/>
    <n v="29.98"/>
    <n v="15.59"/>
    <n v="14.39"/>
    <x v="4"/>
    <x v="2"/>
  </r>
  <r>
    <s v="ORD-2024-0008"/>
    <x v="4"/>
    <s v="CUST-0069"/>
    <x v="7"/>
    <s v="Brighton"/>
    <x v="3"/>
    <x v="5"/>
    <x v="1"/>
    <n v="1"/>
    <n v="12.99"/>
    <n v="12.99"/>
    <n v="6.17"/>
    <n v="6.82"/>
    <x v="0"/>
    <x v="0"/>
  </r>
  <r>
    <s v="ORD-2024-0009"/>
    <x v="5"/>
    <s v="CUST-0169"/>
    <x v="8"/>
    <s v="Belfast"/>
    <x v="4"/>
    <x v="7"/>
    <x v="4"/>
    <n v="1"/>
    <n v="24.99"/>
    <n v="24.99"/>
    <n v="15.74"/>
    <n v="9.25"/>
    <x v="1"/>
    <x v="1"/>
  </r>
  <r>
    <s v="ORD-2024-0010"/>
    <x v="6"/>
    <s v="CUST-0011"/>
    <x v="9"/>
    <s v="Liverpool"/>
    <x v="1"/>
    <x v="8"/>
    <x v="3"/>
    <n v="1"/>
    <n v="89.99"/>
    <n v="89.99"/>
    <n v="64.34"/>
    <n v="25.65"/>
    <x v="0"/>
    <x v="0"/>
  </r>
  <r>
    <s v="ORD-2024-0011"/>
    <x v="6"/>
    <s v="CUST-0032"/>
    <x v="10"/>
    <s v="Birmingham"/>
    <x v="5"/>
    <x v="9"/>
    <x v="3"/>
    <n v="1"/>
    <n v="34.99"/>
    <n v="34.99"/>
    <n v="22.74"/>
    <n v="12.25"/>
    <x v="1"/>
    <x v="1"/>
  </r>
  <r>
    <s v="ORD-2024-0011"/>
    <x v="6"/>
    <s v="CUST-0032"/>
    <x v="10"/>
    <s v="Birmingham"/>
    <x v="5"/>
    <x v="10"/>
    <x v="4"/>
    <n v="1"/>
    <n v="69.989999999999995"/>
    <n v="69.989999999999995"/>
    <n v="48.29"/>
    <n v="21.7"/>
    <x v="1"/>
    <x v="1"/>
  </r>
  <r>
    <s v="ORD-2024-0012"/>
    <x v="7"/>
    <s v="CUST-0034"/>
    <x v="11"/>
    <s v="Liverpool"/>
    <x v="1"/>
    <x v="11"/>
    <x v="4"/>
    <n v="1"/>
    <n v="85.49"/>
    <n v="85.49"/>
    <n v="73.09"/>
    <n v="12.4"/>
    <x v="1"/>
    <x v="0"/>
  </r>
  <r>
    <s v="ORD-2024-0013"/>
    <x v="7"/>
    <s v="CUST-0035"/>
    <x v="12"/>
    <s v="London"/>
    <x v="0"/>
    <x v="11"/>
    <x v="4"/>
    <n v="1"/>
    <n v="94.99"/>
    <n v="94.99"/>
    <n v="75.989999999999995"/>
    <n v="19"/>
    <x v="1"/>
    <x v="1"/>
  </r>
  <r>
    <s v="ORD-2024-0013"/>
    <x v="7"/>
    <s v="CUST-0035"/>
    <x v="12"/>
    <s v="London"/>
    <x v="0"/>
    <x v="6"/>
    <x v="0"/>
    <n v="2"/>
    <n v="14.24"/>
    <n v="28.48"/>
    <n v="14.27"/>
    <n v="14.21"/>
    <x v="1"/>
    <x v="1"/>
  </r>
  <r>
    <s v="ORD-2024-0014"/>
    <x v="7"/>
    <s v="CUST-0071"/>
    <x v="13"/>
    <s v="Southampton"/>
    <x v="3"/>
    <x v="12"/>
    <x v="0"/>
    <n v="1"/>
    <n v="18.989999999999998"/>
    <n v="18.989999999999998"/>
    <n v="10.44"/>
    <n v="8.5500000000000007"/>
    <x v="4"/>
    <x v="2"/>
  </r>
  <r>
    <s v="ORD-2024-0014"/>
    <x v="7"/>
    <s v="CUST-0071"/>
    <x v="13"/>
    <s v="Southampton"/>
    <x v="3"/>
    <x v="8"/>
    <x v="3"/>
    <n v="1"/>
    <n v="85.49"/>
    <n v="85.49"/>
    <n v="69.650000000000006"/>
    <n v="15.84"/>
    <x v="4"/>
    <x v="2"/>
  </r>
  <r>
    <s v="ORD-2024-0015"/>
    <x v="8"/>
    <s v="CUST-0027"/>
    <x v="14"/>
    <s v="Sheffield"/>
    <x v="2"/>
    <x v="8"/>
    <x v="3"/>
    <n v="1"/>
    <n v="89.99"/>
    <n v="89.99"/>
    <n v="64.34"/>
    <n v="25.65"/>
    <x v="4"/>
    <x v="0"/>
  </r>
  <r>
    <s v="ORD-2024-0015"/>
    <x v="8"/>
    <s v="CUST-0027"/>
    <x v="14"/>
    <s v="Sheffield"/>
    <x v="2"/>
    <x v="5"/>
    <x v="1"/>
    <n v="1"/>
    <n v="12.99"/>
    <n v="12.99"/>
    <n v="6.17"/>
    <n v="6.82"/>
    <x v="4"/>
    <x v="0"/>
  </r>
  <r>
    <s v="ORD-2024-0015"/>
    <x v="8"/>
    <s v="CUST-0027"/>
    <x v="14"/>
    <s v="Sheffield"/>
    <x v="2"/>
    <x v="13"/>
    <x v="2"/>
    <n v="1"/>
    <n v="27.99"/>
    <n v="27.99"/>
    <n v="14.13"/>
    <n v="13.86"/>
    <x v="4"/>
    <x v="0"/>
  </r>
  <r>
    <s v="ORD-2024-0016"/>
    <x v="9"/>
    <s v="CUST-0027"/>
    <x v="14"/>
    <s v="Sheffield"/>
    <x v="2"/>
    <x v="12"/>
    <x v="0"/>
    <n v="1"/>
    <n v="17.09"/>
    <n v="17.09"/>
    <n v="9.5299999999999994"/>
    <n v="7.56"/>
    <x v="4"/>
    <x v="1"/>
  </r>
  <r>
    <s v="ORD-2024-0016"/>
    <x v="9"/>
    <s v="CUST-0027"/>
    <x v="14"/>
    <s v="Sheffield"/>
    <x v="2"/>
    <x v="14"/>
    <x v="2"/>
    <n v="1"/>
    <n v="16.989999999999998"/>
    <n v="16.989999999999998"/>
    <n v="10.15"/>
    <n v="6.84"/>
    <x v="4"/>
    <x v="1"/>
  </r>
  <r>
    <s v="ORD-2024-0017"/>
    <x v="9"/>
    <s v="CUST-0175"/>
    <x v="15"/>
    <s v="Southampton"/>
    <x v="3"/>
    <x v="1"/>
    <x v="1"/>
    <n v="2"/>
    <n v="8.99"/>
    <n v="17.98"/>
    <n v="9.17"/>
    <n v="8.81"/>
    <x v="0"/>
    <x v="2"/>
  </r>
  <r>
    <s v="ORD-2024-0018"/>
    <x v="10"/>
    <s v="CUST-0017"/>
    <x v="16"/>
    <s v="Glasgow"/>
    <x v="6"/>
    <x v="0"/>
    <x v="0"/>
    <n v="2"/>
    <n v="26.99"/>
    <n v="53.98"/>
    <n v="28.88"/>
    <n v="25.1"/>
    <x v="0"/>
    <x v="0"/>
  </r>
  <r>
    <s v="ORD-2024-0019"/>
    <x v="11"/>
    <s v="CUST-0029"/>
    <x v="17"/>
    <s v="Bristol"/>
    <x v="7"/>
    <x v="1"/>
    <x v="1"/>
    <n v="2"/>
    <n v="8.99"/>
    <n v="17.98"/>
    <n v="8"/>
    <n v="9.98"/>
    <x v="4"/>
    <x v="0"/>
  </r>
  <r>
    <s v="ORD-2024-0020"/>
    <x v="12"/>
    <s v="CUST-0130"/>
    <x v="18"/>
    <s v="Cardiff"/>
    <x v="8"/>
    <x v="7"/>
    <x v="4"/>
    <n v="1"/>
    <n v="24.99"/>
    <n v="24.99"/>
    <n v="15.12"/>
    <n v="9.8699999999999992"/>
    <x v="4"/>
    <x v="0"/>
  </r>
  <r>
    <s v="ORD-2024-0020"/>
    <x v="12"/>
    <s v="CUST-0130"/>
    <x v="18"/>
    <s v="Cardiff"/>
    <x v="8"/>
    <x v="0"/>
    <x v="0"/>
    <n v="4"/>
    <n v="26.99"/>
    <n v="107.96"/>
    <n v="57.76"/>
    <n v="50.2"/>
    <x v="4"/>
    <x v="0"/>
  </r>
  <r>
    <s v="ORD-2024-0021"/>
    <x v="13"/>
    <s v="CUST-0013"/>
    <x v="19"/>
    <s v="Sheffield"/>
    <x v="2"/>
    <x v="15"/>
    <x v="4"/>
    <n v="1"/>
    <n v="35.99"/>
    <n v="35.99"/>
    <n v="22.77"/>
    <n v="13.22"/>
    <x v="4"/>
    <x v="0"/>
  </r>
  <r>
    <s v="ORD-2024-0022"/>
    <x v="13"/>
    <s v="CUST-0123"/>
    <x v="20"/>
    <s v="Nottingham"/>
    <x v="5"/>
    <x v="16"/>
    <x v="3"/>
    <n v="2"/>
    <n v="161.49"/>
    <n v="322.98"/>
    <n v="293.74"/>
    <n v="29.24"/>
    <x v="0"/>
    <x v="2"/>
  </r>
  <r>
    <s v="ORD-2024-0022"/>
    <x v="13"/>
    <s v="CUST-0123"/>
    <x v="20"/>
    <s v="Nottingham"/>
    <x v="5"/>
    <x v="5"/>
    <x v="1"/>
    <n v="1"/>
    <n v="12.99"/>
    <n v="12.99"/>
    <n v="7.01"/>
    <n v="5.98"/>
    <x v="0"/>
    <x v="2"/>
  </r>
  <r>
    <s v="ORD-2024-0023"/>
    <x v="14"/>
    <s v="CUST-0001"/>
    <x v="21"/>
    <s v="Bristol"/>
    <x v="7"/>
    <x v="9"/>
    <x v="3"/>
    <n v="1"/>
    <n v="34.99"/>
    <n v="34.99"/>
    <n v="22.74"/>
    <n v="12.25"/>
    <x v="2"/>
    <x v="1"/>
  </r>
  <r>
    <s v="ORD-2024-0023"/>
    <x v="14"/>
    <s v="CUST-0001"/>
    <x v="21"/>
    <s v="Bristol"/>
    <x v="7"/>
    <x v="17"/>
    <x v="0"/>
    <n v="1"/>
    <n v="84.99"/>
    <n v="84.99"/>
    <n v="62.04"/>
    <n v="22.95"/>
    <x v="2"/>
    <x v="1"/>
  </r>
  <r>
    <s v="ORD-2024-0023"/>
    <x v="14"/>
    <s v="CUST-0001"/>
    <x v="21"/>
    <s v="Bristol"/>
    <x v="7"/>
    <x v="18"/>
    <x v="2"/>
    <n v="3"/>
    <n v="44.99"/>
    <n v="134.97"/>
    <n v="83.68"/>
    <n v="51.29"/>
    <x v="2"/>
    <x v="1"/>
  </r>
  <r>
    <s v="ORD-2024-0024"/>
    <x v="14"/>
    <s v="CUST-0107"/>
    <x v="22"/>
    <s v="Newcastle"/>
    <x v="9"/>
    <x v="19"/>
    <x v="4"/>
    <n v="1"/>
    <n v="139.99"/>
    <n v="139.99"/>
    <n v="107.09"/>
    <n v="32.9"/>
    <x v="3"/>
    <x v="0"/>
  </r>
  <r>
    <s v="ORD-2024-0024"/>
    <x v="14"/>
    <s v="CUST-0107"/>
    <x v="22"/>
    <s v="Newcastle"/>
    <x v="9"/>
    <x v="5"/>
    <x v="1"/>
    <n v="1"/>
    <n v="11.69"/>
    <n v="11.69"/>
    <n v="6.1"/>
    <n v="5.59"/>
    <x v="3"/>
    <x v="0"/>
  </r>
  <r>
    <s v="ORD-2024-0025"/>
    <x v="14"/>
    <s v="CUST-0161"/>
    <x v="23"/>
    <s v="Birmingham"/>
    <x v="5"/>
    <x v="5"/>
    <x v="1"/>
    <n v="2"/>
    <n v="12.99"/>
    <n v="25.98"/>
    <n v="12.34"/>
    <n v="13.64"/>
    <x v="4"/>
    <x v="0"/>
  </r>
  <r>
    <s v="ORD-2024-0026"/>
    <x v="15"/>
    <s v="CUST-0152"/>
    <x v="24"/>
    <s v="Birmingham"/>
    <x v="5"/>
    <x v="20"/>
    <x v="1"/>
    <n v="2"/>
    <n v="7.19"/>
    <n v="14.38"/>
    <n v="8.4600000000000009"/>
    <n v="5.92"/>
    <x v="4"/>
    <x v="0"/>
  </r>
  <r>
    <s v="ORD-2024-0027"/>
    <x v="16"/>
    <s v="CUST-0008"/>
    <x v="25"/>
    <s v="Glasgow"/>
    <x v="6"/>
    <x v="6"/>
    <x v="0"/>
    <n v="6"/>
    <n v="14.99"/>
    <n v="89.94"/>
    <n v="40.92"/>
    <n v="49.02"/>
    <x v="3"/>
    <x v="0"/>
  </r>
  <r>
    <s v="ORD-2024-0027"/>
    <x v="16"/>
    <s v="CUST-0008"/>
    <x v="25"/>
    <s v="Glasgow"/>
    <x v="6"/>
    <x v="19"/>
    <x v="4"/>
    <n v="1"/>
    <n v="139.99"/>
    <n v="139.99"/>
    <n v="107.09"/>
    <n v="32.9"/>
    <x v="3"/>
    <x v="0"/>
  </r>
  <r>
    <s v="ORD-2024-0028"/>
    <x v="16"/>
    <s v="CUST-0017"/>
    <x v="16"/>
    <s v="Glasgow"/>
    <x v="6"/>
    <x v="5"/>
    <x v="1"/>
    <n v="1"/>
    <n v="12.99"/>
    <n v="12.99"/>
    <n v="6.17"/>
    <n v="6.82"/>
    <x v="1"/>
    <x v="0"/>
  </r>
  <r>
    <s v="ORD-2024-0028"/>
    <x v="16"/>
    <s v="CUST-0017"/>
    <x v="16"/>
    <s v="Glasgow"/>
    <x v="6"/>
    <x v="21"/>
    <x v="1"/>
    <n v="3"/>
    <n v="119.99"/>
    <n v="359.97"/>
    <n v="268.18"/>
    <n v="91.79"/>
    <x v="1"/>
    <x v="0"/>
  </r>
  <r>
    <s v="ORD-2024-0029"/>
    <x v="17"/>
    <s v="CUST-0057"/>
    <x v="6"/>
    <s v="Brighton"/>
    <x v="3"/>
    <x v="20"/>
    <x v="1"/>
    <n v="2"/>
    <n v="7.99"/>
    <n v="15.98"/>
    <n v="9.59"/>
    <n v="6.39"/>
    <x v="0"/>
    <x v="2"/>
  </r>
  <r>
    <s v="ORD-2024-0030"/>
    <x v="18"/>
    <s v="CUST-0118"/>
    <x v="26"/>
    <s v="Manchester"/>
    <x v="1"/>
    <x v="22"/>
    <x v="2"/>
    <n v="3"/>
    <n v="32.99"/>
    <n v="98.97"/>
    <n v="55.92"/>
    <n v="43.05"/>
    <x v="1"/>
    <x v="0"/>
  </r>
  <r>
    <s v="ORD-2024-0031"/>
    <x v="19"/>
    <s v="CUST-0144"/>
    <x v="27"/>
    <s v="Nottingham"/>
    <x v="5"/>
    <x v="2"/>
    <x v="2"/>
    <n v="2"/>
    <n v="62.99"/>
    <n v="125.98"/>
    <n v="92.32"/>
    <n v="33.659999999999997"/>
    <x v="4"/>
    <x v="0"/>
  </r>
  <r>
    <s v="ORD-2024-0032"/>
    <x v="20"/>
    <s v="CUST-0131"/>
    <x v="28"/>
    <s v="Liverpool"/>
    <x v="1"/>
    <x v="4"/>
    <x v="3"/>
    <n v="3"/>
    <n v="79.989999999999995"/>
    <n v="239.97"/>
    <n v="166.78"/>
    <n v="73.19"/>
    <x v="1"/>
    <x v="0"/>
  </r>
  <r>
    <s v="ORD-2024-0033"/>
    <x v="20"/>
    <s v="CUST-0173"/>
    <x v="29"/>
    <s v="Nottingham"/>
    <x v="5"/>
    <x v="16"/>
    <x v="3"/>
    <n v="1"/>
    <n v="169.99"/>
    <n v="169.99"/>
    <n v="136.84"/>
    <n v="33.15"/>
    <x v="0"/>
    <x v="0"/>
  </r>
  <r>
    <s v="ORD-2024-0034"/>
    <x v="21"/>
    <s v="CUST-0015"/>
    <x v="30"/>
    <s v="London"/>
    <x v="0"/>
    <x v="23"/>
    <x v="1"/>
    <n v="1"/>
    <n v="74.989999999999995"/>
    <n v="74.989999999999995"/>
    <n v="52.49"/>
    <n v="22.5"/>
    <x v="3"/>
    <x v="1"/>
  </r>
  <r>
    <s v="ORD-2024-0034"/>
    <x v="21"/>
    <s v="CUST-0015"/>
    <x v="30"/>
    <s v="London"/>
    <x v="0"/>
    <x v="4"/>
    <x v="3"/>
    <n v="3"/>
    <n v="67.989999999999995"/>
    <n v="203.97"/>
    <n v="169.9"/>
    <n v="34.07"/>
    <x v="3"/>
    <x v="1"/>
  </r>
  <r>
    <s v="ORD-2024-0034"/>
    <x v="21"/>
    <s v="CUST-0015"/>
    <x v="30"/>
    <s v="London"/>
    <x v="0"/>
    <x v="18"/>
    <x v="2"/>
    <n v="2"/>
    <n v="42.74"/>
    <n v="85.48"/>
    <n v="55.43"/>
    <n v="30.05"/>
    <x v="3"/>
    <x v="1"/>
  </r>
  <r>
    <s v="ORD-2024-0035"/>
    <x v="22"/>
    <s v="CUST-0044"/>
    <x v="31"/>
    <s v="Manchester"/>
    <x v="1"/>
    <x v="24"/>
    <x v="4"/>
    <n v="1"/>
    <n v="44.99"/>
    <n v="44.99"/>
    <n v="31.49"/>
    <n v="13.5"/>
    <x v="0"/>
    <x v="2"/>
  </r>
  <r>
    <s v="ORD-2024-0036"/>
    <x v="22"/>
    <s v="CUST-0130"/>
    <x v="18"/>
    <s v="Cardiff"/>
    <x v="8"/>
    <x v="2"/>
    <x v="2"/>
    <n v="1"/>
    <n v="69.989999999999995"/>
    <n v="69.989999999999995"/>
    <n v="46.54"/>
    <n v="23.45"/>
    <x v="2"/>
    <x v="0"/>
  </r>
  <r>
    <s v="ORD-2024-0037"/>
    <x v="23"/>
    <s v="CUST-0057"/>
    <x v="6"/>
    <s v="Brighton"/>
    <x v="3"/>
    <x v="23"/>
    <x v="1"/>
    <n v="2"/>
    <n v="74.989999999999995"/>
    <n v="149.97999999999999"/>
    <n v="102.74"/>
    <n v="47.24"/>
    <x v="1"/>
    <x v="3"/>
  </r>
  <r>
    <s v="ORD-2024-0037"/>
    <x v="23"/>
    <s v="CUST-0057"/>
    <x v="6"/>
    <s v="Brighton"/>
    <x v="3"/>
    <x v="11"/>
    <x v="4"/>
    <n v="1"/>
    <n v="94.99"/>
    <n v="94.99"/>
    <n v="74.569999999999993"/>
    <n v="20.420000000000002"/>
    <x v="1"/>
    <x v="3"/>
  </r>
  <r>
    <s v="ORD-2024-0037"/>
    <x v="23"/>
    <s v="CUST-0057"/>
    <x v="6"/>
    <s v="Brighton"/>
    <x v="3"/>
    <x v="3"/>
    <x v="3"/>
    <n v="4"/>
    <n v="25.49"/>
    <n v="101.96"/>
    <n v="65.41"/>
    <n v="36.549999999999997"/>
    <x v="1"/>
    <x v="3"/>
  </r>
  <r>
    <s v="ORD-2024-0038"/>
    <x v="23"/>
    <s v="CUST-0108"/>
    <x v="32"/>
    <s v="Norwich"/>
    <x v="10"/>
    <x v="0"/>
    <x v="0"/>
    <n v="1"/>
    <n v="26.99"/>
    <n v="26.99"/>
    <n v="14.71"/>
    <n v="12.28"/>
    <x v="4"/>
    <x v="3"/>
  </r>
  <r>
    <s v="ORD-2024-0039"/>
    <x v="24"/>
    <s v="CUST-0010"/>
    <x v="4"/>
    <s v="Brighton"/>
    <x v="3"/>
    <x v="18"/>
    <x v="2"/>
    <n v="2"/>
    <n v="44.99"/>
    <n v="89.98"/>
    <n v="55.79"/>
    <n v="34.19"/>
    <x v="3"/>
    <x v="1"/>
  </r>
  <r>
    <s v="ORD-2024-0040"/>
    <x v="24"/>
    <s v="CUST-0163"/>
    <x v="33"/>
    <s v="Edinburgh"/>
    <x v="6"/>
    <x v="1"/>
    <x v="1"/>
    <n v="2"/>
    <n v="8.99"/>
    <n v="17.98"/>
    <n v="8"/>
    <n v="9.98"/>
    <x v="0"/>
    <x v="0"/>
  </r>
  <r>
    <s v="ORD-2024-0040"/>
    <x v="24"/>
    <s v="CUST-0163"/>
    <x v="33"/>
    <s v="Edinburgh"/>
    <x v="6"/>
    <x v="0"/>
    <x v="0"/>
    <n v="1"/>
    <n v="26.99"/>
    <n v="26.99"/>
    <n v="14.44"/>
    <n v="12.55"/>
    <x v="0"/>
    <x v="0"/>
  </r>
  <r>
    <s v="ORD-2024-0041"/>
    <x v="25"/>
    <s v="CUST-0009"/>
    <x v="34"/>
    <s v="Brighton"/>
    <x v="3"/>
    <x v="19"/>
    <x v="4"/>
    <n v="3"/>
    <n v="111.99"/>
    <n v="335.97"/>
    <n v="338.5"/>
    <n v="-2.5299999999999998"/>
    <x v="1"/>
    <x v="2"/>
  </r>
  <r>
    <s v="ORD-2024-0042"/>
    <x v="26"/>
    <s v="CUST-0178"/>
    <x v="35"/>
    <s v="London"/>
    <x v="0"/>
    <x v="12"/>
    <x v="0"/>
    <n v="1"/>
    <n v="18.989999999999998"/>
    <n v="18.989999999999998"/>
    <n v="9.2100000000000009"/>
    <n v="9.7799999999999994"/>
    <x v="0"/>
    <x v="0"/>
  </r>
  <r>
    <s v="ORD-2024-0043"/>
    <x v="27"/>
    <s v="CUST-0120"/>
    <x v="36"/>
    <s v="Edinburgh"/>
    <x v="6"/>
    <x v="15"/>
    <x v="4"/>
    <n v="1"/>
    <n v="39.99"/>
    <n v="39.99"/>
    <n v="23.99"/>
    <n v="16"/>
    <x v="3"/>
    <x v="1"/>
  </r>
  <r>
    <s v="ORD-2024-0044"/>
    <x v="28"/>
    <s v="CUST-0160"/>
    <x v="37"/>
    <s v="Leeds"/>
    <x v="2"/>
    <x v="2"/>
    <x v="2"/>
    <n v="1"/>
    <n v="69.989999999999995"/>
    <n v="69.989999999999995"/>
    <n v="46.54"/>
    <n v="23.45"/>
    <x v="1"/>
    <x v="0"/>
  </r>
  <r>
    <s v="ORD-2024-0045"/>
    <x v="29"/>
    <s v="CUST-0020"/>
    <x v="38"/>
    <s v="Manchester"/>
    <x v="1"/>
    <x v="25"/>
    <x v="1"/>
    <n v="1"/>
    <n v="199.99"/>
    <n v="199.99"/>
    <n v="158.99"/>
    <n v="41"/>
    <x v="3"/>
    <x v="0"/>
  </r>
  <r>
    <s v="ORD-2024-0045"/>
    <x v="29"/>
    <s v="CUST-0020"/>
    <x v="38"/>
    <s v="Manchester"/>
    <x v="1"/>
    <x v="6"/>
    <x v="0"/>
    <n v="1"/>
    <n v="14.99"/>
    <n v="14.99"/>
    <n v="6.82"/>
    <n v="8.17"/>
    <x v="3"/>
    <x v="0"/>
  </r>
  <r>
    <s v="ORD-2024-0046"/>
    <x v="30"/>
    <s v="CUST-0031"/>
    <x v="39"/>
    <s v="Bristol"/>
    <x v="7"/>
    <x v="15"/>
    <x v="4"/>
    <n v="2"/>
    <n v="39.99"/>
    <n v="79.98"/>
    <n v="45.99"/>
    <n v="33.99"/>
    <x v="1"/>
    <x v="0"/>
  </r>
  <r>
    <s v="ORD-2024-0047"/>
    <x v="30"/>
    <s v="CUST-0077"/>
    <x v="40"/>
    <s v="Leeds"/>
    <x v="2"/>
    <x v="24"/>
    <x v="4"/>
    <n v="1"/>
    <n v="44.99"/>
    <n v="44.99"/>
    <n v="28.57"/>
    <n v="16.420000000000002"/>
    <x v="4"/>
    <x v="0"/>
  </r>
  <r>
    <s v="ORD-2024-0048"/>
    <x v="31"/>
    <s v="CUST-0012"/>
    <x v="41"/>
    <s v="Manchester"/>
    <x v="1"/>
    <x v="17"/>
    <x v="0"/>
    <n v="1"/>
    <n v="84.99"/>
    <n v="84.99"/>
    <n v="62.04"/>
    <n v="22.95"/>
    <x v="1"/>
    <x v="1"/>
  </r>
  <r>
    <s v="ORD-2024-0049"/>
    <x v="32"/>
    <s v="CUST-0033"/>
    <x v="42"/>
    <s v="Manchester"/>
    <x v="1"/>
    <x v="23"/>
    <x v="1"/>
    <n v="1"/>
    <n v="63.74"/>
    <n v="63.74"/>
    <n v="51.59"/>
    <n v="12.15"/>
    <x v="1"/>
    <x v="1"/>
  </r>
  <r>
    <s v="ORD-2024-0050"/>
    <x v="33"/>
    <s v="CUST-0063"/>
    <x v="43"/>
    <s v="Bristol"/>
    <x v="7"/>
    <x v="13"/>
    <x v="2"/>
    <n v="1"/>
    <n v="26.59"/>
    <n v="26.59"/>
    <n v="14.72"/>
    <n v="11.87"/>
    <x v="1"/>
    <x v="1"/>
  </r>
  <r>
    <s v="ORD-2024-0050"/>
    <x v="33"/>
    <s v="CUST-0063"/>
    <x v="43"/>
    <s v="Bristol"/>
    <x v="7"/>
    <x v="14"/>
    <x v="2"/>
    <n v="1"/>
    <n v="15.99"/>
    <n v="15.99"/>
    <n v="10.07"/>
    <n v="5.92"/>
    <x v="1"/>
    <x v="1"/>
  </r>
  <r>
    <s v="ORD-2024-0051"/>
    <x v="34"/>
    <s v="CUST-0037"/>
    <x v="44"/>
    <s v="London"/>
    <x v="0"/>
    <x v="15"/>
    <x v="4"/>
    <n v="1"/>
    <n v="39.99"/>
    <n v="39.99"/>
    <n v="23.99"/>
    <n v="16"/>
    <x v="1"/>
    <x v="1"/>
  </r>
  <r>
    <s v="ORD-2024-0052"/>
    <x v="35"/>
    <s v="CUST-0010"/>
    <x v="4"/>
    <s v="Brighton"/>
    <x v="3"/>
    <x v="15"/>
    <x v="4"/>
    <n v="2"/>
    <n v="39.99"/>
    <n v="79.98"/>
    <n v="46.79"/>
    <n v="33.19"/>
    <x v="5"/>
    <x v="3"/>
  </r>
  <r>
    <s v="ORD-2024-0053"/>
    <x v="35"/>
    <s v="CUST-0027"/>
    <x v="14"/>
    <s v="Sheffield"/>
    <x v="2"/>
    <x v="24"/>
    <x v="4"/>
    <n v="2"/>
    <n v="44.99"/>
    <n v="89.98"/>
    <n v="59.39"/>
    <n v="30.59"/>
    <x v="4"/>
    <x v="1"/>
  </r>
  <r>
    <s v="ORD-2024-0054"/>
    <x v="36"/>
    <s v="CUST-0003"/>
    <x v="45"/>
    <s v="Glasgow"/>
    <x v="6"/>
    <x v="23"/>
    <x v="1"/>
    <n v="2"/>
    <n v="71.239999999999995"/>
    <n v="142.47999999999999"/>
    <n v="100.82"/>
    <n v="41.66"/>
    <x v="3"/>
    <x v="0"/>
  </r>
  <r>
    <s v="ORD-2024-0055"/>
    <x v="36"/>
    <s v="CUST-0117"/>
    <x v="46"/>
    <s v="Liverpool"/>
    <x v="1"/>
    <x v="6"/>
    <x v="0"/>
    <n v="1"/>
    <n v="14.24"/>
    <n v="14.24"/>
    <n v="7.14"/>
    <n v="7.1"/>
    <x v="1"/>
    <x v="1"/>
  </r>
  <r>
    <s v="ORD-2024-0055"/>
    <x v="36"/>
    <s v="CUST-0117"/>
    <x v="46"/>
    <s v="Liverpool"/>
    <x v="1"/>
    <x v="15"/>
    <x v="4"/>
    <n v="1"/>
    <n v="39.99"/>
    <n v="39.99"/>
    <n v="23.99"/>
    <n v="16"/>
    <x v="1"/>
    <x v="1"/>
  </r>
  <r>
    <s v="ORD-2024-0056"/>
    <x v="36"/>
    <s v="CUST-0164"/>
    <x v="47"/>
    <s v="Brighton"/>
    <x v="3"/>
    <x v="20"/>
    <x v="1"/>
    <n v="1"/>
    <n v="7.99"/>
    <n v="7.99"/>
    <n v="4.2699999999999996"/>
    <n v="3.72"/>
    <x v="1"/>
    <x v="0"/>
  </r>
  <r>
    <s v="ORD-2024-0057"/>
    <x v="37"/>
    <s v="CUST-0064"/>
    <x v="48"/>
    <s v="Leeds"/>
    <x v="2"/>
    <x v="26"/>
    <x v="3"/>
    <n v="3"/>
    <n v="109.99"/>
    <n v="329.97"/>
    <n v="250.78"/>
    <n v="79.19"/>
    <x v="4"/>
    <x v="1"/>
  </r>
  <r>
    <s v="ORD-2024-0058"/>
    <x v="37"/>
    <s v="CUST-0071"/>
    <x v="13"/>
    <s v="Southampton"/>
    <x v="3"/>
    <x v="1"/>
    <x v="1"/>
    <n v="3"/>
    <n v="8.09"/>
    <n v="24.27"/>
    <n v="11.85"/>
    <n v="12.42"/>
    <x v="4"/>
    <x v="0"/>
  </r>
  <r>
    <s v="ORD-2024-0058"/>
    <x v="37"/>
    <s v="CUST-0071"/>
    <x v="13"/>
    <s v="Southampton"/>
    <x v="3"/>
    <x v="25"/>
    <x v="1"/>
    <n v="1"/>
    <n v="189.99"/>
    <n v="189.99"/>
    <n v="158.44"/>
    <n v="31.55"/>
    <x v="4"/>
    <x v="0"/>
  </r>
  <r>
    <s v="ORD-2024-0059"/>
    <x v="38"/>
    <s v="CUST-0014"/>
    <x v="49"/>
    <s v="Cardiff"/>
    <x v="8"/>
    <x v="11"/>
    <x v="4"/>
    <n v="2"/>
    <n v="94.99"/>
    <n v="189.98"/>
    <n v="147.22999999999999"/>
    <n v="42.75"/>
    <x v="4"/>
    <x v="0"/>
  </r>
  <r>
    <s v="ORD-2024-0059"/>
    <x v="38"/>
    <s v="CUST-0014"/>
    <x v="49"/>
    <s v="Cardiff"/>
    <x v="8"/>
    <x v="7"/>
    <x v="4"/>
    <n v="2"/>
    <n v="24.99"/>
    <n v="49.98"/>
    <n v="30.24"/>
    <n v="19.739999999999998"/>
    <x v="4"/>
    <x v="0"/>
  </r>
  <r>
    <s v="ORD-2024-0060"/>
    <x v="39"/>
    <s v="CUST-0023"/>
    <x v="50"/>
    <s v="Cardiff"/>
    <x v="8"/>
    <x v="20"/>
    <x v="1"/>
    <n v="1"/>
    <n v="7.19"/>
    <n v="7.19"/>
    <n v="4.7"/>
    <n v="2.4900000000000002"/>
    <x v="0"/>
    <x v="2"/>
  </r>
  <r>
    <s v="ORD-2024-0061"/>
    <x v="40"/>
    <s v="CUST-0108"/>
    <x v="32"/>
    <s v="Norwich"/>
    <x v="10"/>
    <x v="26"/>
    <x v="3"/>
    <n v="1"/>
    <n v="109.99"/>
    <n v="109.99"/>
    <n v="80.84"/>
    <n v="29.15"/>
    <x v="4"/>
    <x v="0"/>
  </r>
  <r>
    <s v="ORD-2024-0062"/>
    <x v="41"/>
    <s v="CUST-0175"/>
    <x v="15"/>
    <s v="Southampton"/>
    <x v="3"/>
    <x v="2"/>
    <x v="2"/>
    <n v="2"/>
    <n v="69.989999999999995"/>
    <n v="139.97999999999999"/>
    <n v="96.59"/>
    <n v="43.39"/>
    <x v="4"/>
    <x v="1"/>
  </r>
  <r>
    <s v="ORD-2024-0062"/>
    <x v="41"/>
    <s v="CUST-0175"/>
    <x v="15"/>
    <s v="Southampton"/>
    <x v="3"/>
    <x v="14"/>
    <x v="2"/>
    <n v="1"/>
    <n v="19.989999999999998"/>
    <n v="19.989999999999998"/>
    <n v="10.39"/>
    <n v="9.6"/>
    <x v="4"/>
    <x v="1"/>
  </r>
  <r>
    <s v="ORD-2024-0063"/>
    <x v="42"/>
    <s v="CUST-0102"/>
    <x v="51"/>
    <s v="London"/>
    <x v="0"/>
    <x v="6"/>
    <x v="0"/>
    <n v="6"/>
    <n v="14.99"/>
    <n v="89.94"/>
    <n v="40.92"/>
    <n v="49.02"/>
    <x v="0"/>
    <x v="0"/>
  </r>
  <r>
    <s v="ORD-2024-0063"/>
    <x v="42"/>
    <s v="CUST-0102"/>
    <x v="51"/>
    <s v="London"/>
    <x v="0"/>
    <x v="27"/>
    <x v="0"/>
    <n v="1"/>
    <n v="24.99"/>
    <n v="24.99"/>
    <n v="12.87"/>
    <n v="12.12"/>
    <x v="0"/>
    <x v="0"/>
  </r>
  <r>
    <s v="ORD-2024-0064"/>
    <x v="43"/>
    <s v="CUST-0102"/>
    <x v="51"/>
    <s v="London"/>
    <x v="0"/>
    <x v="14"/>
    <x v="2"/>
    <n v="1"/>
    <n v="19.989999999999998"/>
    <n v="19.989999999999998"/>
    <n v="9.9"/>
    <n v="10.09"/>
    <x v="4"/>
    <x v="0"/>
  </r>
  <r>
    <s v="ORD-2024-0065"/>
    <x v="44"/>
    <s v="CUST-0172"/>
    <x v="52"/>
    <s v="London"/>
    <x v="0"/>
    <x v="16"/>
    <x v="3"/>
    <n v="2"/>
    <n v="144.49"/>
    <n v="288.98"/>
    <n v="270.88"/>
    <n v="18.100000000000001"/>
    <x v="4"/>
    <x v="0"/>
  </r>
  <r>
    <s v="ORD-2024-0065"/>
    <x v="44"/>
    <s v="CUST-0172"/>
    <x v="52"/>
    <s v="London"/>
    <x v="0"/>
    <x v="24"/>
    <x v="4"/>
    <n v="1"/>
    <n v="40.49"/>
    <n v="40.49"/>
    <n v="28.32"/>
    <n v="12.17"/>
    <x v="4"/>
    <x v="0"/>
  </r>
  <r>
    <s v="ORD-2024-0066"/>
    <x v="45"/>
    <s v="CUST-0005"/>
    <x v="1"/>
    <s v="Liverpool"/>
    <x v="1"/>
    <x v="27"/>
    <x v="0"/>
    <n v="1"/>
    <n v="23.74"/>
    <n v="23.74"/>
    <n v="12.8"/>
    <n v="10.94"/>
    <x v="0"/>
    <x v="0"/>
  </r>
  <r>
    <s v="ORD-2024-0067"/>
    <x v="45"/>
    <s v="CUST-0054"/>
    <x v="53"/>
    <s v="Sheffield"/>
    <x v="2"/>
    <x v="18"/>
    <x v="2"/>
    <n v="1"/>
    <n v="44.99"/>
    <n v="44.99"/>
    <n v="27.89"/>
    <n v="17.100000000000001"/>
    <x v="6"/>
    <x v="1"/>
  </r>
  <r>
    <s v="ORD-2024-0068"/>
    <x v="45"/>
    <s v="CUST-0161"/>
    <x v="23"/>
    <s v="Birmingham"/>
    <x v="5"/>
    <x v="24"/>
    <x v="4"/>
    <n v="1"/>
    <n v="44.99"/>
    <n v="44.99"/>
    <n v="28.57"/>
    <n v="16.420000000000002"/>
    <x v="3"/>
    <x v="0"/>
  </r>
  <r>
    <s v="ORD-2024-0069"/>
    <x v="46"/>
    <s v="CUST-0057"/>
    <x v="6"/>
    <s v="Brighton"/>
    <x v="3"/>
    <x v="27"/>
    <x v="0"/>
    <n v="2"/>
    <n v="24.99"/>
    <n v="49.98"/>
    <n v="28.99"/>
    <n v="20.99"/>
    <x v="1"/>
    <x v="2"/>
  </r>
  <r>
    <s v="ORD-2024-0070"/>
    <x v="46"/>
    <s v="CUST-0175"/>
    <x v="15"/>
    <s v="Southampton"/>
    <x v="3"/>
    <x v="25"/>
    <x v="1"/>
    <n v="1"/>
    <n v="199.99"/>
    <n v="199.99"/>
    <n v="158.99"/>
    <n v="41"/>
    <x v="4"/>
    <x v="0"/>
  </r>
  <r>
    <s v="ORD-2024-0070"/>
    <x v="46"/>
    <s v="CUST-0175"/>
    <x v="15"/>
    <s v="Southampton"/>
    <x v="3"/>
    <x v="26"/>
    <x v="3"/>
    <n v="1"/>
    <n v="109.99"/>
    <n v="109.99"/>
    <n v="80.84"/>
    <n v="29.15"/>
    <x v="4"/>
    <x v="0"/>
  </r>
  <r>
    <s v="ORD-2024-0070"/>
    <x v="46"/>
    <s v="CUST-0175"/>
    <x v="15"/>
    <s v="Southampton"/>
    <x v="3"/>
    <x v="28"/>
    <x v="4"/>
    <n v="2"/>
    <n v="49.49"/>
    <n v="98.98"/>
    <n v="71.430000000000007"/>
    <n v="27.55"/>
    <x v="4"/>
    <x v="0"/>
  </r>
  <r>
    <s v="ORD-2024-0071"/>
    <x v="47"/>
    <s v="CUST-0015"/>
    <x v="30"/>
    <s v="London"/>
    <x v="0"/>
    <x v="12"/>
    <x v="0"/>
    <n v="1"/>
    <n v="18.04"/>
    <n v="18.04"/>
    <n v="9.16"/>
    <n v="8.8800000000000008"/>
    <x v="1"/>
    <x v="0"/>
  </r>
  <r>
    <s v="ORD-2024-0071"/>
    <x v="47"/>
    <s v="CUST-0015"/>
    <x v="30"/>
    <s v="London"/>
    <x v="0"/>
    <x v="8"/>
    <x v="3"/>
    <n v="1"/>
    <n v="89.99"/>
    <n v="89.99"/>
    <n v="64.34"/>
    <n v="25.65"/>
    <x v="1"/>
    <x v="0"/>
  </r>
  <r>
    <s v="ORD-2024-0072"/>
    <x v="48"/>
    <s v="CUST-0013"/>
    <x v="19"/>
    <s v="Sheffield"/>
    <x v="2"/>
    <x v="1"/>
    <x v="1"/>
    <n v="2"/>
    <n v="8.5399999999999991"/>
    <n v="17.079999999999998"/>
    <n v="8.1199999999999992"/>
    <n v="8.9600000000000009"/>
    <x v="4"/>
    <x v="3"/>
  </r>
  <r>
    <s v="ORD-2024-0072"/>
    <x v="48"/>
    <s v="CUST-0013"/>
    <x v="19"/>
    <s v="Sheffield"/>
    <x v="2"/>
    <x v="29"/>
    <x v="4"/>
    <n v="1"/>
    <n v="59.99"/>
    <n v="59.99"/>
    <n v="41.69"/>
    <n v="18.3"/>
    <x v="4"/>
    <x v="3"/>
  </r>
  <r>
    <s v="ORD-2024-0073"/>
    <x v="49"/>
    <s v="CUST-0093"/>
    <x v="54"/>
    <s v="Nottingham"/>
    <x v="5"/>
    <x v="3"/>
    <x v="3"/>
    <n v="3"/>
    <n v="25.49"/>
    <n v="76.47"/>
    <n v="49.06"/>
    <n v="27.41"/>
    <x v="4"/>
    <x v="3"/>
  </r>
  <r>
    <s v="ORD-2024-0073"/>
    <x v="49"/>
    <s v="CUST-0093"/>
    <x v="54"/>
    <s v="Nottingham"/>
    <x v="5"/>
    <x v="25"/>
    <x v="1"/>
    <n v="1"/>
    <n v="199.99"/>
    <n v="199.99"/>
    <n v="160.99"/>
    <n v="39"/>
    <x v="4"/>
    <x v="3"/>
  </r>
  <r>
    <s v="ORD-2024-0074"/>
    <x v="49"/>
    <s v="CUST-0144"/>
    <x v="27"/>
    <s v="Nottingham"/>
    <x v="5"/>
    <x v="0"/>
    <x v="0"/>
    <n v="1"/>
    <n v="21.59"/>
    <n v="21.59"/>
    <n v="15.55"/>
    <n v="6.04"/>
    <x v="1"/>
    <x v="2"/>
  </r>
  <r>
    <s v="ORD-2024-0075"/>
    <x v="50"/>
    <s v="CUST-0049"/>
    <x v="55"/>
    <s v="Cambridge"/>
    <x v="10"/>
    <x v="20"/>
    <x v="1"/>
    <n v="1"/>
    <n v="7.99"/>
    <n v="7.99"/>
    <n v="4.2699999999999996"/>
    <n v="3.72"/>
    <x v="0"/>
    <x v="0"/>
  </r>
  <r>
    <s v="ORD-2024-0075"/>
    <x v="50"/>
    <s v="CUST-0049"/>
    <x v="55"/>
    <s v="Cambridge"/>
    <x v="10"/>
    <x v="13"/>
    <x v="2"/>
    <n v="1"/>
    <n v="27.99"/>
    <n v="27.99"/>
    <n v="14.13"/>
    <n v="13.86"/>
    <x v="0"/>
    <x v="0"/>
  </r>
  <r>
    <s v="ORD-2024-0075"/>
    <x v="50"/>
    <s v="CUST-0049"/>
    <x v="55"/>
    <s v="Cambridge"/>
    <x v="10"/>
    <x v="15"/>
    <x v="4"/>
    <n v="1"/>
    <n v="31.99"/>
    <n v="31.99"/>
    <n v="22.55"/>
    <n v="9.44"/>
    <x v="0"/>
    <x v="0"/>
  </r>
  <r>
    <s v="ORD-2024-0076"/>
    <x v="51"/>
    <s v="CUST-0127"/>
    <x v="56"/>
    <s v="Birmingham"/>
    <x v="5"/>
    <x v="1"/>
    <x v="1"/>
    <n v="1"/>
    <n v="8.5399999999999991"/>
    <n v="8.5399999999999991"/>
    <n v="4.1900000000000004"/>
    <n v="4.3499999999999996"/>
    <x v="6"/>
    <x v="1"/>
  </r>
  <r>
    <s v="ORD-2024-0077"/>
    <x v="51"/>
    <s v="CUST-0155"/>
    <x v="57"/>
    <s v="Leeds"/>
    <x v="2"/>
    <x v="18"/>
    <x v="2"/>
    <n v="2"/>
    <n v="44.99"/>
    <n v="89.98"/>
    <n v="53.54"/>
    <n v="36.44"/>
    <x v="4"/>
    <x v="0"/>
  </r>
  <r>
    <s v="ORD-2024-0077"/>
    <x v="51"/>
    <s v="CUST-0155"/>
    <x v="57"/>
    <s v="Leeds"/>
    <x v="2"/>
    <x v="8"/>
    <x v="3"/>
    <n v="1"/>
    <n v="85.49"/>
    <n v="85.49"/>
    <n v="64.099999999999994"/>
    <n v="21.39"/>
    <x v="4"/>
    <x v="0"/>
  </r>
  <r>
    <s v="ORD-2024-0078"/>
    <x v="52"/>
    <s v="CUST-0021"/>
    <x v="58"/>
    <s v="Edinburgh"/>
    <x v="6"/>
    <x v="25"/>
    <x v="1"/>
    <n v="2"/>
    <n v="179.99"/>
    <n v="359.98"/>
    <n v="315.77999999999997"/>
    <n v="44.2"/>
    <x v="3"/>
    <x v="0"/>
  </r>
  <r>
    <s v="ORD-2024-0079"/>
    <x v="52"/>
    <s v="CUST-0158"/>
    <x v="59"/>
    <s v="Manchester"/>
    <x v="1"/>
    <x v="3"/>
    <x v="3"/>
    <n v="1"/>
    <n v="29.99"/>
    <n v="29.99"/>
    <n v="17.09"/>
    <n v="12.9"/>
    <x v="2"/>
    <x v="1"/>
  </r>
  <r>
    <s v="ORD-2024-0079"/>
    <x v="52"/>
    <s v="CUST-0158"/>
    <x v="59"/>
    <s v="Manchester"/>
    <x v="1"/>
    <x v="9"/>
    <x v="3"/>
    <n v="1"/>
    <n v="29.74"/>
    <n v="29.74"/>
    <n v="22.32"/>
    <n v="7.42"/>
    <x v="2"/>
    <x v="1"/>
  </r>
  <r>
    <s v="ORD-2024-0080"/>
    <x v="53"/>
    <s v="CUST-0092"/>
    <x v="60"/>
    <s v="London"/>
    <x v="0"/>
    <x v="17"/>
    <x v="0"/>
    <n v="1"/>
    <n v="76.489999999999995"/>
    <n v="76.489999999999995"/>
    <n v="61.36"/>
    <n v="15.13"/>
    <x v="3"/>
    <x v="1"/>
  </r>
  <r>
    <s v="ORD-2024-0080"/>
    <x v="53"/>
    <s v="CUST-0092"/>
    <x v="60"/>
    <s v="London"/>
    <x v="0"/>
    <x v="15"/>
    <x v="4"/>
    <n v="1"/>
    <n v="35.99"/>
    <n v="35.99"/>
    <n v="23.67"/>
    <n v="12.32"/>
    <x v="3"/>
    <x v="1"/>
  </r>
  <r>
    <s v="ORD-2024-0080"/>
    <x v="53"/>
    <s v="CUST-0092"/>
    <x v="60"/>
    <s v="London"/>
    <x v="0"/>
    <x v="26"/>
    <x v="3"/>
    <n v="1"/>
    <n v="109.99"/>
    <n v="109.99"/>
    <n v="83.59"/>
    <n v="26.4"/>
    <x v="3"/>
    <x v="1"/>
  </r>
  <r>
    <s v="ORD-2024-0081"/>
    <x v="54"/>
    <s v="CUST-0039"/>
    <x v="61"/>
    <s v="Cambridge"/>
    <x v="10"/>
    <x v="15"/>
    <x v="4"/>
    <n v="1"/>
    <n v="37.99"/>
    <n v="37.99"/>
    <n v="25.35"/>
    <n v="12.64"/>
    <x v="0"/>
    <x v="2"/>
  </r>
  <r>
    <s v="ORD-2024-0082"/>
    <x v="55"/>
    <s v="CUST-0141"/>
    <x v="62"/>
    <s v="Glasgow"/>
    <x v="6"/>
    <x v="28"/>
    <x v="4"/>
    <n v="2"/>
    <n v="54.99"/>
    <n v="109.98"/>
    <n v="72.040000000000006"/>
    <n v="37.94"/>
    <x v="1"/>
    <x v="0"/>
  </r>
  <r>
    <s v="ORD-2024-0083"/>
    <x v="56"/>
    <s v="CUST-0043"/>
    <x v="63"/>
    <s v="Birmingham"/>
    <x v="5"/>
    <x v="6"/>
    <x v="0"/>
    <n v="1"/>
    <n v="14.99"/>
    <n v="14.99"/>
    <n v="6.82"/>
    <n v="8.17"/>
    <x v="1"/>
    <x v="0"/>
  </r>
  <r>
    <s v="ORD-2024-0084"/>
    <x v="57"/>
    <s v="CUST-0100"/>
    <x v="64"/>
    <s v="Norwich"/>
    <x v="10"/>
    <x v="26"/>
    <x v="3"/>
    <n v="2"/>
    <n v="98.99"/>
    <n v="197.98"/>
    <n v="173.34"/>
    <n v="24.64"/>
    <x v="1"/>
    <x v="2"/>
  </r>
  <r>
    <s v="ORD-2024-0085"/>
    <x v="58"/>
    <s v="CUST-0075"/>
    <x v="65"/>
    <s v="Manchester"/>
    <x v="1"/>
    <x v="24"/>
    <x v="4"/>
    <n v="1"/>
    <n v="44.99"/>
    <n v="44.99"/>
    <n v="28.57"/>
    <n v="16.420000000000002"/>
    <x v="1"/>
    <x v="0"/>
  </r>
  <r>
    <s v="ORD-2024-0085"/>
    <x v="58"/>
    <s v="CUST-0075"/>
    <x v="65"/>
    <s v="Manchester"/>
    <x v="1"/>
    <x v="14"/>
    <x v="2"/>
    <n v="1"/>
    <n v="19.989999999999998"/>
    <n v="19.989999999999998"/>
    <n v="9.9"/>
    <n v="10.09"/>
    <x v="1"/>
    <x v="0"/>
  </r>
  <r>
    <s v="ORD-2024-0086"/>
    <x v="59"/>
    <s v="CUST-0076"/>
    <x v="66"/>
    <s v="Southampton"/>
    <x v="3"/>
    <x v="20"/>
    <x v="1"/>
    <n v="1"/>
    <n v="7.99"/>
    <n v="7.99"/>
    <n v="4.47"/>
    <n v="3.52"/>
    <x v="3"/>
    <x v="1"/>
  </r>
  <r>
    <s v="ORD-2024-0086"/>
    <x v="59"/>
    <s v="CUST-0076"/>
    <x v="66"/>
    <s v="Southampton"/>
    <x v="3"/>
    <x v="0"/>
    <x v="0"/>
    <n v="2"/>
    <n v="24.29"/>
    <n v="48.58"/>
    <n v="29.8"/>
    <n v="18.78"/>
    <x v="3"/>
    <x v="1"/>
  </r>
  <r>
    <s v="ORD-2024-0087"/>
    <x v="59"/>
    <s v="CUST-0113"/>
    <x v="67"/>
    <s v="Cambridge"/>
    <x v="10"/>
    <x v="27"/>
    <x v="0"/>
    <n v="2"/>
    <n v="22.49"/>
    <n v="44.98"/>
    <n v="25.46"/>
    <n v="19.52"/>
    <x v="1"/>
    <x v="0"/>
  </r>
  <r>
    <s v="ORD-2024-0087"/>
    <x v="59"/>
    <s v="CUST-0113"/>
    <x v="67"/>
    <s v="Cambridge"/>
    <x v="10"/>
    <x v="3"/>
    <x v="3"/>
    <n v="1"/>
    <n v="25.49"/>
    <n v="25.49"/>
    <n v="16.100000000000001"/>
    <n v="9.39"/>
    <x v="1"/>
    <x v="0"/>
  </r>
  <r>
    <s v="ORD-2024-0088"/>
    <x v="60"/>
    <s v="CUST-0027"/>
    <x v="14"/>
    <s v="Sheffield"/>
    <x v="2"/>
    <x v="24"/>
    <x v="4"/>
    <n v="1"/>
    <n v="42.74"/>
    <n v="42.74"/>
    <n v="29.51"/>
    <n v="13.23"/>
    <x v="1"/>
    <x v="1"/>
  </r>
  <r>
    <s v="ORD-2024-0089"/>
    <x v="60"/>
    <s v="CUST-0141"/>
    <x v="62"/>
    <s v="Glasgow"/>
    <x v="6"/>
    <x v="23"/>
    <x v="1"/>
    <n v="1"/>
    <n v="71.239999999999995"/>
    <n v="71.239999999999995"/>
    <n v="55.04"/>
    <n v="16.2"/>
    <x v="1"/>
    <x v="2"/>
  </r>
  <r>
    <s v="ORD-2024-0090"/>
    <x v="61"/>
    <s v="CUST-0036"/>
    <x v="68"/>
    <s v="Edinburgh"/>
    <x v="6"/>
    <x v="17"/>
    <x v="0"/>
    <n v="1"/>
    <n v="84.99"/>
    <n v="84.99"/>
    <n v="59.92"/>
    <n v="25.07"/>
    <x v="0"/>
    <x v="0"/>
  </r>
  <r>
    <s v="ORD-2024-0090"/>
    <x v="61"/>
    <s v="CUST-0036"/>
    <x v="68"/>
    <s v="Edinburgh"/>
    <x v="6"/>
    <x v="5"/>
    <x v="1"/>
    <n v="3"/>
    <n v="12.34"/>
    <n v="37.020000000000003"/>
    <n v="18.399999999999999"/>
    <n v="18.62"/>
    <x v="0"/>
    <x v="0"/>
  </r>
  <r>
    <s v="ORD-2024-0091"/>
    <x v="62"/>
    <s v="CUST-0004"/>
    <x v="69"/>
    <s v="Leeds"/>
    <x v="2"/>
    <x v="16"/>
    <x v="3"/>
    <n v="1"/>
    <n v="161.49"/>
    <n v="161.49"/>
    <n v="140.41"/>
    <n v="21.08"/>
    <x v="1"/>
    <x v="1"/>
  </r>
  <r>
    <s v="ORD-2024-0092"/>
    <x v="63"/>
    <s v="CUST-0088"/>
    <x v="70"/>
    <s v="Manchester"/>
    <x v="1"/>
    <x v="0"/>
    <x v="0"/>
    <n v="1"/>
    <n v="26.99"/>
    <n v="26.99"/>
    <n v="15.11"/>
    <n v="11.88"/>
    <x v="3"/>
    <x v="1"/>
  </r>
  <r>
    <s v="ORD-2024-0093"/>
    <x v="64"/>
    <s v="CUST-0102"/>
    <x v="51"/>
    <s v="London"/>
    <x v="0"/>
    <x v="27"/>
    <x v="0"/>
    <n v="1"/>
    <n v="24.99"/>
    <n v="24.99"/>
    <n v="12.87"/>
    <n v="12.12"/>
    <x v="4"/>
    <x v="0"/>
  </r>
  <r>
    <s v="ORD-2024-0094"/>
    <x v="65"/>
    <s v="CUST-0006"/>
    <x v="71"/>
    <s v="Nottingham"/>
    <x v="5"/>
    <x v="24"/>
    <x v="4"/>
    <n v="2"/>
    <n v="44.99"/>
    <n v="89.98"/>
    <n v="59.39"/>
    <n v="30.59"/>
    <x v="4"/>
    <x v="1"/>
  </r>
  <r>
    <s v="ORD-2024-0095"/>
    <x v="65"/>
    <s v="CUST-0032"/>
    <x v="10"/>
    <s v="Birmingham"/>
    <x v="5"/>
    <x v="2"/>
    <x v="2"/>
    <n v="1"/>
    <n v="55.99"/>
    <n v="55.99"/>
    <n v="49.41"/>
    <n v="6.58"/>
    <x v="4"/>
    <x v="2"/>
  </r>
  <r>
    <s v="ORD-2024-0096"/>
    <x v="66"/>
    <s v="CUST-0014"/>
    <x v="49"/>
    <s v="Cardiff"/>
    <x v="8"/>
    <x v="26"/>
    <x v="3"/>
    <n v="2"/>
    <n v="109.99"/>
    <n v="219.98"/>
    <n v="167.18"/>
    <n v="52.8"/>
    <x v="2"/>
    <x v="1"/>
  </r>
  <r>
    <s v="ORD-2024-0097"/>
    <x v="67"/>
    <s v="CUST-0095"/>
    <x v="72"/>
    <s v="Southampton"/>
    <x v="3"/>
    <x v="29"/>
    <x v="4"/>
    <n v="2"/>
    <n v="59.99"/>
    <n v="119.98"/>
    <n v="82.19"/>
    <n v="37.79"/>
    <x v="4"/>
    <x v="0"/>
  </r>
  <r>
    <s v="ORD-2024-0097"/>
    <x v="67"/>
    <s v="CUST-0095"/>
    <x v="72"/>
    <s v="Southampton"/>
    <x v="3"/>
    <x v="7"/>
    <x v="4"/>
    <n v="1"/>
    <n v="22.49"/>
    <n v="22.49"/>
    <n v="14.98"/>
    <n v="7.51"/>
    <x v="4"/>
    <x v="0"/>
  </r>
  <r>
    <s v="ORD-2024-0098"/>
    <x v="67"/>
    <s v="CUST-0118"/>
    <x v="26"/>
    <s v="Manchester"/>
    <x v="1"/>
    <x v="18"/>
    <x v="2"/>
    <n v="1"/>
    <n v="42.74"/>
    <n v="42.74"/>
    <n v="26.65"/>
    <n v="16.09"/>
    <x v="4"/>
    <x v="0"/>
  </r>
  <r>
    <s v="ORD-2024-0099"/>
    <x v="67"/>
    <s v="CUST-0145"/>
    <x v="73"/>
    <s v="Exeter"/>
    <x v="7"/>
    <x v="29"/>
    <x v="4"/>
    <n v="1"/>
    <n v="56.99"/>
    <n v="56.99"/>
    <n v="42.35"/>
    <n v="14.64"/>
    <x v="4"/>
    <x v="1"/>
  </r>
  <r>
    <s v="ORD-2024-0100"/>
    <x v="68"/>
    <s v="CUST-0012"/>
    <x v="41"/>
    <s v="Manchester"/>
    <x v="1"/>
    <x v="19"/>
    <x v="4"/>
    <n v="1"/>
    <n v="132.99"/>
    <n v="132.99"/>
    <n v="110.03"/>
    <n v="22.96"/>
    <x v="1"/>
    <x v="1"/>
  </r>
  <r>
    <s v="ORD-2024-0101"/>
    <x v="69"/>
    <s v="CUST-0013"/>
    <x v="19"/>
    <s v="Sheffield"/>
    <x v="2"/>
    <x v="10"/>
    <x v="4"/>
    <n v="1"/>
    <n v="66.489999999999995"/>
    <n v="66.489999999999995"/>
    <n v="46.35"/>
    <n v="20.14"/>
    <x v="0"/>
    <x v="0"/>
  </r>
  <r>
    <s v="ORD-2024-0101"/>
    <x v="69"/>
    <s v="CUST-0013"/>
    <x v="19"/>
    <s v="Sheffield"/>
    <x v="2"/>
    <x v="27"/>
    <x v="0"/>
    <n v="1"/>
    <n v="24.99"/>
    <n v="24.99"/>
    <n v="12.87"/>
    <n v="12.12"/>
    <x v="0"/>
    <x v="0"/>
  </r>
  <r>
    <s v="ORD-2024-0102"/>
    <x v="70"/>
    <s v="CUST-0092"/>
    <x v="60"/>
    <s v="London"/>
    <x v="0"/>
    <x v="27"/>
    <x v="0"/>
    <n v="6"/>
    <n v="24.99"/>
    <n v="149.94"/>
    <n v="77.22"/>
    <n v="72.72"/>
    <x v="3"/>
    <x v="0"/>
  </r>
  <r>
    <s v="ORD-2024-0103"/>
    <x v="71"/>
    <s v="CUST-0008"/>
    <x v="25"/>
    <s v="Glasgow"/>
    <x v="6"/>
    <x v="18"/>
    <x v="2"/>
    <n v="1"/>
    <n v="44.99"/>
    <n v="44.99"/>
    <n v="26.77"/>
    <n v="18.22"/>
    <x v="4"/>
    <x v="0"/>
  </r>
  <r>
    <s v="ORD-2024-0104"/>
    <x v="71"/>
    <s v="CUST-0129"/>
    <x v="74"/>
    <s v="Bristol"/>
    <x v="7"/>
    <x v="1"/>
    <x v="1"/>
    <n v="1"/>
    <n v="8.5399999999999991"/>
    <n v="8.5399999999999991"/>
    <n v="4.53"/>
    <n v="4.01"/>
    <x v="4"/>
    <x v="2"/>
  </r>
  <r>
    <s v="ORD-2024-0105"/>
    <x v="72"/>
    <s v="CUST-0003"/>
    <x v="45"/>
    <s v="Glasgow"/>
    <x v="6"/>
    <x v="13"/>
    <x v="2"/>
    <n v="2"/>
    <n v="27.99"/>
    <n v="55.98"/>
    <n v="28.27"/>
    <n v="27.71"/>
    <x v="4"/>
    <x v="0"/>
  </r>
  <r>
    <s v="ORD-2024-0106"/>
    <x v="73"/>
    <s v="CUST-0039"/>
    <x v="61"/>
    <s v="Cambridge"/>
    <x v="10"/>
    <x v="22"/>
    <x v="2"/>
    <n v="2"/>
    <n v="32.99"/>
    <n v="65.98"/>
    <n v="37.28"/>
    <n v="28.7"/>
    <x v="0"/>
    <x v="0"/>
  </r>
  <r>
    <s v="ORD-2024-0107"/>
    <x v="74"/>
    <s v="CUST-0065"/>
    <x v="75"/>
    <s v="Brighton"/>
    <x v="3"/>
    <x v="19"/>
    <x v="4"/>
    <n v="1"/>
    <n v="132.99"/>
    <n v="132.99"/>
    <n v="106.71"/>
    <n v="26.28"/>
    <x v="4"/>
    <x v="0"/>
  </r>
  <r>
    <s v="ORD-2024-0107"/>
    <x v="74"/>
    <s v="CUST-0065"/>
    <x v="75"/>
    <s v="Brighton"/>
    <x v="3"/>
    <x v="14"/>
    <x v="2"/>
    <n v="1"/>
    <n v="16.989999999999998"/>
    <n v="16.989999999999998"/>
    <n v="9.73"/>
    <n v="7.26"/>
    <x v="4"/>
    <x v="0"/>
  </r>
  <r>
    <s v="ORD-2024-0108"/>
    <x v="75"/>
    <s v="CUST-0001"/>
    <x v="21"/>
    <s v="Bristol"/>
    <x v="7"/>
    <x v="6"/>
    <x v="0"/>
    <n v="2"/>
    <n v="14.99"/>
    <n v="29.98"/>
    <n v="14.39"/>
    <n v="15.59"/>
    <x v="4"/>
    <x v="1"/>
  </r>
  <r>
    <s v="ORD-2024-0109"/>
    <x v="75"/>
    <s v="CUST-0002"/>
    <x v="3"/>
    <s v="Sheffield"/>
    <x v="2"/>
    <x v="26"/>
    <x v="3"/>
    <n v="1"/>
    <n v="104.49"/>
    <n v="104.49"/>
    <n v="83.15"/>
    <n v="21.34"/>
    <x v="1"/>
    <x v="1"/>
  </r>
  <r>
    <s v="ORD-2024-0109"/>
    <x v="75"/>
    <s v="CUST-0002"/>
    <x v="3"/>
    <s v="Sheffield"/>
    <x v="2"/>
    <x v="7"/>
    <x v="4"/>
    <n v="1"/>
    <n v="24.99"/>
    <n v="24.99"/>
    <n v="15.74"/>
    <n v="9.25"/>
    <x v="1"/>
    <x v="1"/>
  </r>
  <r>
    <s v="ORD-2024-0110"/>
    <x v="75"/>
    <s v="CUST-0030"/>
    <x v="76"/>
    <s v="Sheffield"/>
    <x v="2"/>
    <x v="25"/>
    <x v="1"/>
    <n v="1"/>
    <n v="199.99"/>
    <n v="199.99"/>
    <n v="158.99"/>
    <n v="41"/>
    <x v="0"/>
    <x v="0"/>
  </r>
  <r>
    <s v="ORD-2024-0111"/>
    <x v="76"/>
    <s v="CUST-0028"/>
    <x v="0"/>
    <s v="London"/>
    <x v="0"/>
    <x v="20"/>
    <x v="1"/>
    <n v="1"/>
    <n v="7.59"/>
    <n v="7.59"/>
    <n v="4.4400000000000004"/>
    <n v="3.15"/>
    <x v="1"/>
    <x v="1"/>
  </r>
  <r>
    <s v="ORD-2024-0112"/>
    <x v="76"/>
    <s v="CUST-0076"/>
    <x v="66"/>
    <s v="Southampton"/>
    <x v="3"/>
    <x v="26"/>
    <x v="3"/>
    <n v="3"/>
    <n v="109.99"/>
    <n v="329.97"/>
    <n v="250.78"/>
    <n v="79.19"/>
    <x v="3"/>
    <x v="1"/>
  </r>
  <r>
    <s v="ORD-2024-0113"/>
    <x v="77"/>
    <s v="CUST-0150"/>
    <x v="77"/>
    <s v="Newcastle"/>
    <x v="9"/>
    <x v="24"/>
    <x v="4"/>
    <n v="1"/>
    <n v="44.99"/>
    <n v="44.99"/>
    <n v="29.02"/>
    <n v="15.97"/>
    <x v="4"/>
    <x v="3"/>
  </r>
  <r>
    <s v="ORD-2024-0114"/>
    <x v="78"/>
    <s v="CUST-0002"/>
    <x v="3"/>
    <s v="Sheffield"/>
    <x v="2"/>
    <x v="27"/>
    <x v="0"/>
    <n v="1"/>
    <n v="21.24"/>
    <n v="21.24"/>
    <n v="13.19"/>
    <n v="8.0500000000000007"/>
    <x v="3"/>
    <x v="1"/>
  </r>
  <r>
    <s v="ORD-2024-0114"/>
    <x v="78"/>
    <s v="CUST-0002"/>
    <x v="3"/>
    <s v="Sheffield"/>
    <x v="2"/>
    <x v="29"/>
    <x v="4"/>
    <n v="1"/>
    <n v="59.99"/>
    <n v="59.99"/>
    <n v="42.59"/>
    <n v="17.399999999999999"/>
    <x v="3"/>
    <x v="1"/>
  </r>
  <r>
    <s v="ORD-2024-0115"/>
    <x v="79"/>
    <s v="CUST-0031"/>
    <x v="39"/>
    <s v="Bristol"/>
    <x v="7"/>
    <x v="24"/>
    <x v="4"/>
    <n v="2"/>
    <n v="44.99"/>
    <n v="89.98"/>
    <n v="59.39"/>
    <n v="30.59"/>
    <x v="1"/>
    <x v="1"/>
  </r>
  <r>
    <s v="ORD-2024-0116"/>
    <x v="80"/>
    <s v="CUST-0041"/>
    <x v="78"/>
    <s v="Liverpool"/>
    <x v="1"/>
    <x v="3"/>
    <x v="3"/>
    <n v="1"/>
    <n v="29.99"/>
    <n v="29.99"/>
    <n v="17.09"/>
    <n v="12.9"/>
    <x v="1"/>
    <x v="1"/>
  </r>
  <r>
    <s v="ORD-2024-0117"/>
    <x v="81"/>
    <s v="CUST-0087"/>
    <x v="79"/>
    <s v="London"/>
    <x v="0"/>
    <x v="0"/>
    <x v="0"/>
    <n v="2"/>
    <n v="26.99"/>
    <n v="53.98"/>
    <n v="30.23"/>
    <n v="23.75"/>
    <x v="1"/>
    <x v="1"/>
  </r>
  <r>
    <s v="ORD-2024-0118"/>
    <x v="82"/>
    <s v="CUST-0080"/>
    <x v="80"/>
    <s v="Brighton"/>
    <x v="3"/>
    <x v="26"/>
    <x v="3"/>
    <n v="3"/>
    <n v="98.99"/>
    <n v="296.97000000000003"/>
    <n v="248.14"/>
    <n v="48.83"/>
    <x v="1"/>
    <x v="1"/>
  </r>
  <r>
    <s v="ORD-2024-0119"/>
    <x v="83"/>
    <s v="CUST-0025"/>
    <x v="81"/>
    <s v="Norwich"/>
    <x v="10"/>
    <x v="14"/>
    <x v="2"/>
    <n v="1"/>
    <n v="19.989999999999998"/>
    <n v="19.989999999999998"/>
    <n v="9.9"/>
    <n v="10.09"/>
    <x v="3"/>
    <x v="0"/>
  </r>
  <r>
    <s v="ORD-2024-0120"/>
    <x v="83"/>
    <s v="CUST-0033"/>
    <x v="42"/>
    <s v="Manchester"/>
    <x v="1"/>
    <x v="7"/>
    <x v="4"/>
    <n v="1"/>
    <n v="19.989999999999998"/>
    <n v="19.989999999999998"/>
    <n v="15.34"/>
    <n v="4.6500000000000004"/>
    <x v="3"/>
    <x v="1"/>
  </r>
  <r>
    <s v="ORD-2024-0120"/>
    <x v="83"/>
    <s v="CUST-0033"/>
    <x v="42"/>
    <s v="Manchester"/>
    <x v="1"/>
    <x v="4"/>
    <x v="3"/>
    <n v="1"/>
    <n v="79.989999999999995"/>
    <n v="79.989999999999995"/>
    <n v="57.59"/>
    <n v="22.4"/>
    <x v="3"/>
    <x v="1"/>
  </r>
  <r>
    <s v="ORD-2024-0121"/>
    <x v="84"/>
    <s v="CUST-0028"/>
    <x v="0"/>
    <s v="London"/>
    <x v="0"/>
    <x v="15"/>
    <x v="4"/>
    <n v="1"/>
    <n v="39.99"/>
    <n v="39.99"/>
    <n v="23.99"/>
    <n v="16"/>
    <x v="1"/>
    <x v="1"/>
  </r>
  <r>
    <s v="ORD-2024-0122"/>
    <x v="85"/>
    <s v="CUST-0014"/>
    <x v="49"/>
    <s v="Cardiff"/>
    <x v="8"/>
    <x v="25"/>
    <x v="1"/>
    <n v="2"/>
    <n v="189.99"/>
    <n v="379.98"/>
    <n v="326.38"/>
    <n v="53.6"/>
    <x v="6"/>
    <x v="1"/>
  </r>
  <r>
    <s v="ORD-2024-0122"/>
    <x v="85"/>
    <s v="CUST-0014"/>
    <x v="49"/>
    <s v="Cardiff"/>
    <x v="8"/>
    <x v="5"/>
    <x v="1"/>
    <n v="2"/>
    <n v="12.99"/>
    <n v="25.98"/>
    <n v="12.99"/>
    <n v="12.99"/>
    <x v="6"/>
    <x v="1"/>
  </r>
  <r>
    <s v="ORD-2024-0123"/>
    <x v="85"/>
    <s v="CUST-0086"/>
    <x v="82"/>
    <s v="Glasgow"/>
    <x v="6"/>
    <x v="8"/>
    <x v="3"/>
    <n v="1"/>
    <n v="89.99"/>
    <n v="89.99"/>
    <n v="70.19"/>
    <n v="19.8"/>
    <x v="4"/>
    <x v="2"/>
  </r>
  <r>
    <s v="ORD-2024-0124"/>
    <x v="86"/>
    <s v="CUST-0003"/>
    <x v="45"/>
    <s v="Glasgow"/>
    <x v="6"/>
    <x v="24"/>
    <x v="4"/>
    <n v="2"/>
    <n v="44.99"/>
    <n v="89.98"/>
    <n v="59.39"/>
    <n v="30.59"/>
    <x v="6"/>
    <x v="1"/>
  </r>
  <r>
    <s v="ORD-2024-0125"/>
    <x v="86"/>
    <s v="CUST-0027"/>
    <x v="14"/>
    <s v="Sheffield"/>
    <x v="2"/>
    <x v="23"/>
    <x v="1"/>
    <n v="1"/>
    <n v="71.239999999999995"/>
    <n v="71.239999999999995"/>
    <n v="52.19"/>
    <n v="19.05"/>
    <x v="4"/>
    <x v="1"/>
  </r>
  <r>
    <s v="ORD-2024-0126"/>
    <x v="87"/>
    <s v="CUST-0049"/>
    <x v="55"/>
    <s v="Cambridge"/>
    <x v="10"/>
    <x v="29"/>
    <x v="4"/>
    <n v="1"/>
    <n v="50.99"/>
    <n v="50.99"/>
    <n v="41.87"/>
    <n v="9.1199999999999992"/>
    <x v="3"/>
    <x v="1"/>
  </r>
  <r>
    <s v="ORD-2024-0126"/>
    <x v="87"/>
    <s v="CUST-0049"/>
    <x v="55"/>
    <s v="Cambridge"/>
    <x v="10"/>
    <x v="5"/>
    <x v="1"/>
    <n v="2"/>
    <n v="12.99"/>
    <n v="25.98"/>
    <n v="12.99"/>
    <n v="12.99"/>
    <x v="3"/>
    <x v="1"/>
  </r>
  <r>
    <s v="ORD-2024-0127"/>
    <x v="87"/>
    <s v="CUST-0114"/>
    <x v="83"/>
    <s v="Bristol"/>
    <x v="7"/>
    <x v="17"/>
    <x v="0"/>
    <n v="3"/>
    <n v="84.99"/>
    <n v="254.97"/>
    <n v="179.75"/>
    <n v="75.22"/>
    <x v="4"/>
    <x v="0"/>
  </r>
  <r>
    <s v="ORD-2024-0128"/>
    <x v="87"/>
    <s v="CUST-0123"/>
    <x v="20"/>
    <s v="Nottingham"/>
    <x v="5"/>
    <x v="5"/>
    <x v="1"/>
    <n v="3"/>
    <n v="11.04"/>
    <n v="33.119999999999997"/>
    <n v="19.02"/>
    <n v="14.1"/>
    <x v="1"/>
    <x v="1"/>
  </r>
  <r>
    <s v="ORD-2024-0129"/>
    <x v="87"/>
    <s v="CUST-0138"/>
    <x v="84"/>
    <s v="Liverpool"/>
    <x v="1"/>
    <x v="6"/>
    <x v="0"/>
    <n v="1"/>
    <n v="14.99"/>
    <n v="14.99"/>
    <n v="6.82"/>
    <n v="8.17"/>
    <x v="0"/>
    <x v="0"/>
  </r>
  <r>
    <s v="ORD-2024-0130"/>
    <x v="88"/>
    <s v="CUST-0047"/>
    <x v="5"/>
    <s v="London"/>
    <x v="0"/>
    <x v="24"/>
    <x v="4"/>
    <n v="1"/>
    <n v="44.99"/>
    <n v="44.99"/>
    <n v="28.57"/>
    <n v="16.420000000000002"/>
    <x v="4"/>
    <x v="0"/>
  </r>
  <r>
    <s v="ORD-2024-0130"/>
    <x v="88"/>
    <s v="CUST-0047"/>
    <x v="5"/>
    <s v="London"/>
    <x v="0"/>
    <x v="3"/>
    <x v="3"/>
    <n v="1"/>
    <n v="25.49"/>
    <n v="25.49"/>
    <n v="16.100000000000001"/>
    <n v="9.39"/>
    <x v="4"/>
    <x v="0"/>
  </r>
  <r>
    <s v="ORD-2024-0130"/>
    <x v="88"/>
    <s v="CUST-0047"/>
    <x v="5"/>
    <s v="London"/>
    <x v="0"/>
    <x v="9"/>
    <x v="3"/>
    <n v="1"/>
    <n v="34.99"/>
    <n v="34.99"/>
    <n v="21.87"/>
    <n v="13.12"/>
    <x v="4"/>
    <x v="0"/>
  </r>
  <r>
    <s v="ORD-2024-0131"/>
    <x v="88"/>
    <s v="CUST-0142"/>
    <x v="85"/>
    <s v="Birmingham"/>
    <x v="5"/>
    <x v="20"/>
    <x v="1"/>
    <n v="2"/>
    <n v="7.99"/>
    <n v="15.98"/>
    <n v="8.9499999999999993"/>
    <n v="7.03"/>
    <x v="1"/>
    <x v="1"/>
  </r>
  <r>
    <s v="ORD-2024-0132"/>
    <x v="89"/>
    <s v="CUST-0004"/>
    <x v="69"/>
    <s v="Leeds"/>
    <x v="2"/>
    <x v="3"/>
    <x v="3"/>
    <n v="2"/>
    <n v="29.99"/>
    <n v="59.98"/>
    <n v="32.69"/>
    <n v="27.29"/>
    <x v="1"/>
    <x v="0"/>
  </r>
  <r>
    <s v="ORD-2024-0133"/>
    <x v="90"/>
    <s v="CUST-0136"/>
    <x v="86"/>
    <s v="Nottingham"/>
    <x v="5"/>
    <x v="9"/>
    <x v="3"/>
    <n v="1"/>
    <n v="34.99"/>
    <n v="34.99"/>
    <n v="21.87"/>
    <n v="13.12"/>
    <x v="4"/>
    <x v="0"/>
  </r>
  <r>
    <s v="ORD-2024-0134"/>
    <x v="91"/>
    <s v="CUST-0070"/>
    <x v="87"/>
    <s v="Leeds"/>
    <x v="2"/>
    <x v="1"/>
    <x v="1"/>
    <n v="1"/>
    <n v="8.5399999999999991"/>
    <n v="8.5399999999999991"/>
    <n v="4.1900000000000004"/>
    <n v="4.3499999999999996"/>
    <x v="1"/>
    <x v="1"/>
  </r>
  <r>
    <s v="ORD-2024-0134"/>
    <x v="91"/>
    <s v="CUST-0070"/>
    <x v="87"/>
    <s v="Leeds"/>
    <x v="2"/>
    <x v="4"/>
    <x v="3"/>
    <n v="1"/>
    <n v="71.989999999999995"/>
    <n v="71.989999999999995"/>
    <n v="56.95"/>
    <n v="15.04"/>
    <x v="1"/>
    <x v="1"/>
  </r>
  <r>
    <s v="ORD-2024-0135"/>
    <x v="92"/>
    <s v="CUST-0152"/>
    <x v="24"/>
    <s v="Birmingham"/>
    <x v="5"/>
    <x v="7"/>
    <x v="4"/>
    <n v="6"/>
    <n v="24.99"/>
    <n v="149.94"/>
    <n v="90.71"/>
    <n v="59.23"/>
    <x v="4"/>
    <x v="0"/>
  </r>
  <r>
    <s v="ORD-2024-0135"/>
    <x v="92"/>
    <s v="CUST-0152"/>
    <x v="24"/>
    <s v="Birmingham"/>
    <x v="5"/>
    <x v="21"/>
    <x v="1"/>
    <n v="1"/>
    <n v="107.99"/>
    <n v="107.99"/>
    <n v="88.73"/>
    <n v="19.260000000000002"/>
    <x v="4"/>
    <x v="0"/>
  </r>
  <r>
    <s v="ORD-2024-0136"/>
    <x v="93"/>
    <s v="CUST-0124"/>
    <x v="88"/>
    <s v="Sheffield"/>
    <x v="2"/>
    <x v="6"/>
    <x v="0"/>
    <n v="6"/>
    <n v="14.99"/>
    <n v="89.94"/>
    <n v="46.77"/>
    <n v="43.17"/>
    <x v="1"/>
    <x v="2"/>
  </r>
  <r>
    <s v="ORD-2024-0137"/>
    <x v="94"/>
    <s v="CUST-0010"/>
    <x v="4"/>
    <s v="Brighton"/>
    <x v="3"/>
    <x v="29"/>
    <x v="4"/>
    <n v="3"/>
    <n v="59.99"/>
    <n v="179.97"/>
    <n v="123.28"/>
    <n v="56.69"/>
    <x v="4"/>
    <x v="0"/>
  </r>
  <r>
    <s v="ORD-2024-0138"/>
    <x v="94"/>
    <s v="CUST-0030"/>
    <x v="76"/>
    <s v="Sheffield"/>
    <x v="2"/>
    <x v="12"/>
    <x v="0"/>
    <n v="2"/>
    <n v="18.989999999999998"/>
    <n v="37.979999999999997"/>
    <n v="19.37"/>
    <n v="18.61"/>
    <x v="3"/>
    <x v="1"/>
  </r>
  <r>
    <s v="ORD-2024-0139"/>
    <x v="94"/>
    <s v="CUST-0048"/>
    <x v="89"/>
    <s v="Belfast"/>
    <x v="4"/>
    <x v="24"/>
    <x v="4"/>
    <n v="4"/>
    <n v="40.49"/>
    <n v="161.96"/>
    <n v="117.33"/>
    <n v="44.63"/>
    <x v="6"/>
    <x v="1"/>
  </r>
  <r>
    <s v="ORD-2024-0140"/>
    <x v="94"/>
    <s v="CUST-0173"/>
    <x v="29"/>
    <s v="Nottingham"/>
    <x v="5"/>
    <x v="29"/>
    <x v="4"/>
    <n v="2"/>
    <n v="59.99"/>
    <n v="119.98"/>
    <n v="85.19"/>
    <n v="34.79"/>
    <x v="1"/>
    <x v="1"/>
  </r>
  <r>
    <s v="ORD-2024-0141"/>
    <x v="95"/>
    <s v="CUST-0044"/>
    <x v="31"/>
    <s v="Manchester"/>
    <x v="1"/>
    <x v="9"/>
    <x v="3"/>
    <n v="2"/>
    <n v="33.24"/>
    <n v="66.48"/>
    <n v="43.54"/>
    <n v="22.94"/>
    <x v="0"/>
    <x v="0"/>
  </r>
  <r>
    <s v="ORD-2024-0142"/>
    <x v="96"/>
    <s v="CUST-0018"/>
    <x v="90"/>
    <s v="Leeds"/>
    <x v="2"/>
    <x v="7"/>
    <x v="4"/>
    <n v="1"/>
    <n v="21.24"/>
    <n v="21.24"/>
    <n v="14.91"/>
    <n v="6.33"/>
    <x v="3"/>
    <x v="0"/>
  </r>
  <r>
    <s v="ORD-2024-0143"/>
    <x v="97"/>
    <s v="CUST-0034"/>
    <x v="11"/>
    <s v="Liverpool"/>
    <x v="1"/>
    <x v="3"/>
    <x v="3"/>
    <n v="1"/>
    <n v="29.99"/>
    <n v="29.99"/>
    <n v="16.34"/>
    <n v="13.65"/>
    <x v="1"/>
    <x v="0"/>
  </r>
  <r>
    <s v="ORD-2024-0144"/>
    <x v="98"/>
    <s v="CUST-0011"/>
    <x v="9"/>
    <s v="Liverpool"/>
    <x v="1"/>
    <x v="18"/>
    <x v="2"/>
    <n v="2"/>
    <n v="44.99"/>
    <n v="89.98"/>
    <n v="53.54"/>
    <n v="36.44"/>
    <x v="1"/>
    <x v="0"/>
  </r>
  <r>
    <s v="ORD-2024-0144"/>
    <x v="98"/>
    <s v="CUST-0011"/>
    <x v="9"/>
    <s v="Liverpool"/>
    <x v="1"/>
    <x v="12"/>
    <x v="0"/>
    <n v="1"/>
    <n v="18.989999999999998"/>
    <n v="18.989999999999998"/>
    <n v="9.2100000000000009"/>
    <n v="9.7799999999999994"/>
    <x v="1"/>
    <x v="0"/>
  </r>
  <r>
    <s v="ORD-2024-0145"/>
    <x v="99"/>
    <s v="CUST-0118"/>
    <x v="26"/>
    <s v="Manchester"/>
    <x v="1"/>
    <x v="10"/>
    <x v="4"/>
    <n v="1"/>
    <n v="69.989999999999995"/>
    <n v="69.989999999999995"/>
    <n v="46.54"/>
    <n v="23.45"/>
    <x v="1"/>
    <x v="0"/>
  </r>
  <r>
    <s v="ORD-2024-0146"/>
    <x v="100"/>
    <s v="CUST-0027"/>
    <x v="14"/>
    <s v="Sheffield"/>
    <x v="2"/>
    <x v="29"/>
    <x v="4"/>
    <n v="1"/>
    <n v="56.99"/>
    <n v="56.99"/>
    <n v="40.93"/>
    <n v="16.059999999999999"/>
    <x v="1"/>
    <x v="0"/>
  </r>
  <r>
    <s v="ORD-2024-0147"/>
    <x v="101"/>
    <s v="CUST-0175"/>
    <x v="15"/>
    <s v="Southampton"/>
    <x v="3"/>
    <x v="10"/>
    <x v="4"/>
    <n v="1"/>
    <n v="69.989999999999995"/>
    <n v="69.989999999999995"/>
    <n v="47.24"/>
    <n v="22.75"/>
    <x v="5"/>
    <x v="3"/>
  </r>
  <r>
    <s v="ORD-2024-0148"/>
    <x v="102"/>
    <s v="CUST-0136"/>
    <x v="86"/>
    <s v="Nottingham"/>
    <x v="5"/>
    <x v="28"/>
    <x v="4"/>
    <n v="2"/>
    <n v="54.99"/>
    <n v="109.98"/>
    <n v="79.19"/>
    <n v="30.79"/>
    <x v="3"/>
    <x v="2"/>
  </r>
  <r>
    <s v="ORD-2024-0148"/>
    <x v="102"/>
    <s v="CUST-0136"/>
    <x v="86"/>
    <s v="Nottingham"/>
    <x v="5"/>
    <x v="9"/>
    <x v="3"/>
    <n v="3"/>
    <n v="34.99"/>
    <n v="104.97"/>
    <n v="72.430000000000007"/>
    <n v="32.54"/>
    <x v="3"/>
    <x v="2"/>
  </r>
  <r>
    <s v="ORD-2024-0148"/>
    <x v="102"/>
    <s v="CUST-0136"/>
    <x v="86"/>
    <s v="Nottingham"/>
    <x v="5"/>
    <x v="23"/>
    <x v="1"/>
    <n v="1"/>
    <n v="74.989999999999995"/>
    <n v="74.989999999999995"/>
    <n v="55.49"/>
    <n v="19.5"/>
    <x v="3"/>
    <x v="2"/>
  </r>
  <r>
    <s v="ORD-2024-0149"/>
    <x v="103"/>
    <s v="CUST-0018"/>
    <x v="90"/>
    <s v="Leeds"/>
    <x v="2"/>
    <x v="17"/>
    <x v="0"/>
    <n v="2"/>
    <n v="84.99"/>
    <n v="169.98"/>
    <n v="130.88"/>
    <n v="39.1"/>
    <x v="4"/>
    <x v="2"/>
  </r>
  <r>
    <s v="ORD-2024-0150"/>
    <x v="103"/>
    <s v="CUST-0117"/>
    <x v="46"/>
    <s v="Liverpool"/>
    <x v="1"/>
    <x v="1"/>
    <x v="1"/>
    <n v="1"/>
    <n v="8.99"/>
    <n v="8.99"/>
    <n v="4"/>
    <n v="4.99"/>
    <x v="0"/>
    <x v="0"/>
  </r>
  <r>
    <s v="ORD-2024-0151"/>
    <x v="104"/>
    <s v="CUST-0158"/>
    <x v="59"/>
    <s v="Manchester"/>
    <x v="1"/>
    <x v="11"/>
    <x v="4"/>
    <n v="2"/>
    <n v="94.99"/>
    <n v="189.98"/>
    <n v="147.22999999999999"/>
    <n v="42.75"/>
    <x v="0"/>
    <x v="0"/>
  </r>
  <r>
    <s v="ORD-2024-0151"/>
    <x v="104"/>
    <s v="CUST-0158"/>
    <x v="59"/>
    <s v="Manchester"/>
    <x v="1"/>
    <x v="5"/>
    <x v="1"/>
    <n v="3"/>
    <n v="12.99"/>
    <n v="38.97"/>
    <n v="18.510000000000002"/>
    <n v="20.46"/>
    <x v="0"/>
    <x v="0"/>
  </r>
  <r>
    <s v="ORD-2024-0152"/>
    <x v="105"/>
    <s v="CUST-0116"/>
    <x v="91"/>
    <s v="London"/>
    <x v="0"/>
    <x v="1"/>
    <x v="1"/>
    <n v="1"/>
    <n v="8.99"/>
    <n v="8.99"/>
    <n v="4.2300000000000004"/>
    <n v="4.76"/>
    <x v="3"/>
    <x v="1"/>
  </r>
  <r>
    <s v="ORD-2024-0152"/>
    <x v="105"/>
    <s v="CUST-0116"/>
    <x v="91"/>
    <s v="London"/>
    <x v="0"/>
    <x v="2"/>
    <x v="2"/>
    <n v="2"/>
    <n v="69.989999999999995"/>
    <n v="139.97999999999999"/>
    <n v="96.59"/>
    <n v="43.39"/>
    <x v="3"/>
    <x v="1"/>
  </r>
  <r>
    <s v="ORD-2024-0153"/>
    <x v="106"/>
    <s v="CUST-0018"/>
    <x v="90"/>
    <s v="Leeds"/>
    <x v="2"/>
    <x v="29"/>
    <x v="4"/>
    <n v="2"/>
    <n v="53.99"/>
    <n v="107.98"/>
    <n v="81.53"/>
    <n v="26.45"/>
    <x v="1"/>
    <x v="0"/>
  </r>
  <r>
    <s v="ORD-2024-0154"/>
    <x v="107"/>
    <s v="CUST-0009"/>
    <x v="34"/>
    <s v="Brighton"/>
    <x v="3"/>
    <x v="0"/>
    <x v="0"/>
    <n v="1"/>
    <n v="22.94"/>
    <n v="22.94"/>
    <n v="14.22"/>
    <n v="8.7200000000000006"/>
    <x v="4"/>
    <x v="0"/>
  </r>
  <r>
    <s v="ORD-2024-0154"/>
    <x v="107"/>
    <s v="CUST-0009"/>
    <x v="34"/>
    <s v="Brighton"/>
    <x v="3"/>
    <x v="2"/>
    <x v="2"/>
    <n v="2"/>
    <n v="66.489999999999995"/>
    <n v="132.97999999999999"/>
    <n v="92.7"/>
    <n v="40.28"/>
    <x v="4"/>
    <x v="0"/>
  </r>
  <r>
    <s v="ORD-2024-0155"/>
    <x v="107"/>
    <s v="CUST-0151"/>
    <x v="92"/>
    <s v="Cardiff"/>
    <x v="8"/>
    <x v="24"/>
    <x v="4"/>
    <n v="1"/>
    <n v="44.99"/>
    <n v="44.99"/>
    <n v="28.57"/>
    <n v="16.420000000000002"/>
    <x v="0"/>
    <x v="0"/>
  </r>
  <r>
    <s v="ORD-2024-0155"/>
    <x v="107"/>
    <s v="CUST-0151"/>
    <x v="92"/>
    <s v="Cardiff"/>
    <x v="8"/>
    <x v="4"/>
    <x v="3"/>
    <n v="2"/>
    <n v="75.989999999999995"/>
    <n v="151.97999999999999"/>
    <n v="110.75"/>
    <n v="41.23"/>
    <x v="0"/>
    <x v="0"/>
  </r>
  <r>
    <s v="ORD-2024-0155"/>
    <x v="107"/>
    <s v="CUST-0151"/>
    <x v="92"/>
    <s v="Cardiff"/>
    <x v="8"/>
    <x v="20"/>
    <x v="1"/>
    <n v="1"/>
    <n v="7.99"/>
    <n v="7.99"/>
    <n v="4.2699999999999996"/>
    <n v="3.72"/>
    <x v="0"/>
    <x v="0"/>
  </r>
  <r>
    <s v="ORD-2024-0156"/>
    <x v="108"/>
    <s v="CUST-0027"/>
    <x v="14"/>
    <s v="Sheffield"/>
    <x v="2"/>
    <x v="3"/>
    <x v="3"/>
    <n v="1"/>
    <n v="29.99"/>
    <n v="29.99"/>
    <n v="17.09"/>
    <n v="12.9"/>
    <x v="3"/>
    <x v="1"/>
  </r>
  <r>
    <s v="ORD-2024-0156"/>
    <x v="108"/>
    <s v="CUST-0027"/>
    <x v="14"/>
    <s v="Sheffield"/>
    <x v="2"/>
    <x v="25"/>
    <x v="1"/>
    <n v="2"/>
    <n v="199.99"/>
    <n v="399.98"/>
    <n v="327.98"/>
    <n v="72"/>
    <x v="3"/>
    <x v="1"/>
  </r>
  <r>
    <s v="ORD-2024-0157"/>
    <x v="109"/>
    <s v="CUST-0048"/>
    <x v="89"/>
    <s v="Belfast"/>
    <x v="4"/>
    <x v="7"/>
    <x v="4"/>
    <n v="1"/>
    <n v="24.99"/>
    <n v="24.99"/>
    <n v="15.74"/>
    <n v="9.25"/>
    <x v="1"/>
    <x v="1"/>
  </r>
  <r>
    <s v="ORD-2024-0158"/>
    <x v="109"/>
    <s v="CUST-0164"/>
    <x v="47"/>
    <s v="Brighton"/>
    <x v="3"/>
    <x v="20"/>
    <x v="1"/>
    <n v="1"/>
    <n v="7.19"/>
    <n v="7.19"/>
    <n v="4.2300000000000004"/>
    <n v="2.96"/>
    <x v="4"/>
    <x v="0"/>
  </r>
  <r>
    <s v="ORD-2024-0158"/>
    <x v="109"/>
    <s v="CUST-0164"/>
    <x v="47"/>
    <s v="Brighton"/>
    <x v="3"/>
    <x v="23"/>
    <x v="1"/>
    <n v="1"/>
    <n v="74.989999999999995"/>
    <n v="74.989999999999995"/>
    <n v="50.62"/>
    <n v="24.37"/>
    <x v="4"/>
    <x v="0"/>
  </r>
  <r>
    <s v="ORD-2024-0158"/>
    <x v="109"/>
    <s v="CUST-0164"/>
    <x v="47"/>
    <s v="Brighton"/>
    <x v="3"/>
    <x v="18"/>
    <x v="2"/>
    <n v="1"/>
    <n v="42.74"/>
    <n v="42.74"/>
    <n v="26.65"/>
    <n v="16.09"/>
    <x v="4"/>
    <x v="0"/>
  </r>
  <r>
    <s v="ORD-2024-0159"/>
    <x v="110"/>
    <s v="CUST-0025"/>
    <x v="81"/>
    <s v="Norwich"/>
    <x v="10"/>
    <x v="1"/>
    <x v="1"/>
    <n v="2"/>
    <n v="8.09"/>
    <n v="16.18"/>
    <n v="8.31"/>
    <n v="7.87"/>
    <x v="1"/>
    <x v="1"/>
  </r>
  <r>
    <s v="ORD-2024-0160"/>
    <x v="111"/>
    <s v="CUST-0032"/>
    <x v="10"/>
    <s v="Birmingham"/>
    <x v="5"/>
    <x v="14"/>
    <x v="2"/>
    <n v="1"/>
    <n v="17.989999999999998"/>
    <n v="17.989999999999998"/>
    <n v="9.7899999999999991"/>
    <n v="8.1999999999999993"/>
    <x v="0"/>
    <x v="0"/>
  </r>
  <r>
    <s v="ORD-2024-0161"/>
    <x v="111"/>
    <s v="CUST-0174"/>
    <x v="93"/>
    <s v="Manchester"/>
    <x v="1"/>
    <x v="28"/>
    <x v="4"/>
    <n v="2"/>
    <n v="54.99"/>
    <n v="109.98"/>
    <n v="79.19"/>
    <n v="30.79"/>
    <x v="0"/>
    <x v="2"/>
  </r>
  <r>
    <s v="ORD-2024-0162"/>
    <x v="112"/>
    <s v="CUST-0011"/>
    <x v="9"/>
    <s v="Liverpool"/>
    <x v="1"/>
    <x v="13"/>
    <x v="2"/>
    <n v="2"/>
    <n v="27.99"/>
    <n v="55.98"/>
    <n v="28.27"/>
    <n v="27.71"/>
    <x v="0"/>
    <x v="0"/>
  </r>
  <r>
    <s v="ORD-2024-0163"/>
    <x v="112"/>
    <s v="CUST-0014"/>
    <x v="49"/>
    <s v="Cardiff"/>
    <x v="8"/>
    <x v="14"/>
    <x v="2"/>
    <n v="2"/>
    <n v="19.989999999999998"/>
    <n v="39.979999999999997"/>
    <n v="19.79"/>
    <n v="20.190000000000001"/>
    <x v="4"/>
    <x v="0"/>
  </r>
  <r>
    <s v="ORD-2024-0164"/>
    <x v="113"/>
    <s v="CUST-0001"/>
    <x v="21"/>
    <s v="Bristol"/>
    <x v="7"/>
    <x v="20"/>
    <x v="1"/>
    <n v="1"/>
    <n v="6.79"/>
    <n v="6.79"/>
    <n v="4.38"/>
    <n v="2.41"/>
    <x v="6"/>
    <x v="1"/>
  </r>
  <r>
    <s v="ORD-2024-0165"/>
    <x v="113"/>
    <s v="CUST-0001"/>
    <x v="21"/>
    <s v="Bristol"/>
    <x v="7"/>
    <x v="28"/>
    <x v="4"/>
    <n v="1"/>
    <n v="52.24"/>
    <n v="52.24"/>
    <n v="35.869999999999997"/>
    <n v="16.37"/>
    <x v="0"/>
    <x v="0"/>
  </r>
  <r>
    <s v="ORD-2024-0166"/>
    <x v="113"/>
    <s v="CUST-0142"/>
    <x v="85"/>
    <s v="Birmingham"/>
    <x v="5"/>
    <x v="21"/>
    <x v="1"/>
    <n v="2"/>
    <n v="119.99"/>
    <n v="239.98"/>
    <n v="184.78"/>
    <n v="55.2"/>
    <x v="6"/>
    <x v="1"/>
  </r>
  <r>
    <s v="ORD-2024-0167"/>
    <x v="113"/>
    <s v="CUST-0179"/>
    <x v="94"/>
    <s v="Nottingham"/>
    <x v="5"/>
    <x v="6"/>
    <x v="0"/>
    <n v="1"/>
    <n v="14.99"/>
    <n v="14.99"/>
    <n v="6.82"/>
    <n v="8.17"/>
    <x v="4"/>
    <x v="0"/>
  </r>
  <r>
    <s v="ORD-2024-0168"/>
    <x v="114"/>
    <s v="CUST-0011"/>
    <x v="9"/>
    <s v="Liverpool"/>
    <x v="1"/>
    <x v="1"/>
    <x v="1"/>
    <n v="2"/>
    <n v="8.99"/>
    <n v="17.98"/>
    <n v="8"/>
    <n v="9.98"/>
    <x v="4"/>
    <x v="0"/>
  </r>
  <r>
    <s v="ORD-2024-0168"/>
    <x v="114"/>
    <s v="CUST-0011"/>
    <x v="9"/>
    <s v="Liverpool"/>
    <x v="1"/>
    <x v="7"/>
    <x v="4"/>
    <n v="1"/>
    <n v="24.99"/>
    <n v="24.99"/>
    <n v="15.12"/>
    <n v="9.8699999999999992"/>
    <x v="4"/>
    <x v="0"/>
  </r>
  <r>
    <s v="ORD-2024-0168"/>
    <x v="114"/>
    <s v="CUST-0011"/>
    <x v="9"/>
    <s v="Liverpool"/>
    <x v="1"/>
    <x v="8"/>
    <x v="3"/>
    <n v="1"/>
    <n v="89.99"/>
    <n v="89.99"/>
    <n v="64.34"/>
    <n v="25.65"/>
    <x v="4"/>
    <x v="0"/>
  </r>
  <r>
    <s v="ORD-2024-0169"/>
    <x v="115"/>
    <s v="CUST-0003"/>
    <x v="45"/>
    <s v="Glasgow"/>
    <x v="6"/>
    <x v="13"/>
    <x v="2"/>
    <n v="1"/>
    <n v="27.99"/>
    <n v="27.99"/>
    <n v="14.13"/>
    <n v="13.86"/>
    <x v="4"/>
    <x v="0"/>
  </r>
  <r>
    <s v="ORD-2024-0170"/>
    <x v="116"/>
    <s v="CUST-0046"/>
    <x v="95"/>
    <s v="London"/>
    <x v="0"/>
    <x v="20"/>
    <x v="1"/>
    <n v="2"/>
    <n v="7.59"/>
    <n v="15.18"/>
    <n v="8.8800000000000008"/>
    <n v="6.3"/>
    <x v="4"/>
    <x v="1"/>
  </r>
  <r>
    <s v="ORD-2024-0170"/>
    <x v="116"/>
    <s v="CUST-0046"/>
    <x v="95"/>
    <s v="London"/>
    <x v="0"/>
    <x v="24"/>
    <x v="4"/>
    <n v="2"/>
    <n v="44.99"/>
    <n v="89.98"/>
    <n v="59.39"/>
    <n v="30.59"/>
    <x v="4"/>
    <x v="1"/>
  </r>
  <r>
    <s v="ORD-2024-0170"/>
    <x v="116"/>
    <s v="CUST-0046"/>
    <x v="95"/>
    <s v="London"/>
    <x v="0"/>
    <x v="13"/>
    <x v="2"/>
    <n v="2"/>
    <n v="27.99"/>
    <n v="55.98"/>
    <n v="29.67"/>
    <n v="26.31"/>
    <x v="4"/>
    <x v="1"/>
  </r>
  <r>
    <s v="ORD-2024-0171"/>
    <x v="116"/>
    <s v="CUST-0081"/>
    <x v="96"/>
    <s v="Southampton"/>
    <x v="3"/>
    <x v="24"/>
    <x v="4"/>
    <n v="1"/>
    <n v="44.99"/>
    <n v="44.99"/>
    <n v="29.69"/>
    <n v="15.3"/>
    <x v="3"/>
    <x v="1"/>
  </r>
  <r>
    <s v="ORD-2024-0172"/>
    <x v="117"/>
    <s v="CUST-0004"/>
    <x v="69"/>
    <s v="Leeds"/>
    <x v="2"/>
    <x v="20"/>
    <x v="1"/>
    <n v="2"/>
    <n v="7.59"/>
    <n v="15.18"/>
    <n v="8.8800000000000008"/>
    <n v="6.3"/>
    <x v="1"/>
    <x v="1"/>
  </r>
  <r>
    <s v="ORD-2024-0173"/>
    <x v="117"/>
    <s v="CUST-0042"/>
    <x v="97"/>
    <s v="Sheffield"/>
    <x v="2"/>
    <x v="23"/>
    <x v="1"/>
    <n v="1"/>
    <n v="74.989999999999995"/>
    <n v="74.989999999999995"/>
    <n v="50.62"/>
    <n v="24.37"/>
    <x v="4"/>
    <x v="0"/>
  </r>
  <r>
    <s v="ORD-2024-0173"/>
    <x v="117"/>
    <s v="CUST-0042"/>
    <x v="97"/>
    <s v="Sheffield"/>
    <x v="2"/>
    <x v="18"/>
    <x v="2"/>
    <n v="1"/>
    <n v="44.99"/>
    <n v="44.99"/>
    <n v="26.77"/>
    <n v="18.22"/>
    <x v="4"/>
    <x v="0"/>
  </r>
  <r>
    <s v="ORD-2024-0174"/>
    <x v="117"/>
    <s v="CUST-0122"/>
    <x v="98"/>
    <s v="Birmingham"/>
    <x v="5"/>
    <x v="27"/>
    <x v="0"/>
    <n v="2"/>
    <n v="24.99"/>
    <n v="49.98"/>
    <n v="26.99"/>
    <n v="22.99"/>
    <x v="1"/>
    <x v="1"/>
  </r>
  <r>
    <s v="ORD-2024-0175"/>
    <x v="118"/>
    <s v="CUST-0004"/>
    <x v="69"/>
    <s v="Leeds"/>
    <x v="2"/>
    <x v="20"/>
    <x v="1"/>
    <n v="1"/>
    <n v="7.99"/>
    <n v="7.99"/>
    <n v="4.47"/>
    <n v="3.52"/>
    <x v="6"/>
    <x v="1"/>
  </r>
  <r>
    <s v="ORD-2024-0176"/>
    <x v="118"/>
    <s v="CUST-0043"/>
    <x v="63"/>
    <s v="Birmingham"/>
    <x v="5"/>
    <x v="20"/>
    <x v="1"/>
    <n v="3"/>
    <n v="7.99"/>
    <n v="23.97"/>
    <n v="14.38"/>
    <n v="9.59"/>
    <x v="0"/>
    <x v="2"/>
  </r>
  <r>
    <s v="ORD-2024-0176"/>
    <x v="118"/>
    <s v="CUST-0043"/>
    <x v="63"/>
    <s v="Birmingham"/>
    <x v="5"/>
    <x v="12"/>
    <x v="0"/>
    <n v="1"/>
    <n v="18.04"/>
    <n v="18.04"/>
    <n v="10.33"/>
    <n v="7.71"/>
    <x v="0"/>
    <x v="2"/>
  </r>
  <r>
    <s v="ORD-2024-0177"/>
    <x v="119"/>
    <s v="CUST-0023"/>
    <x v="50"/>
    <s v="Cardiff"/>
    <x v="8"/>
    <x v="27"/>
    <x v="0"/>
    <n v="1"/>
    <n v="23.74"/>
    <n v="23.74"/>
    <n v="12.8"/>
    <n v="10.94"/>
    <x v="0"/>
    <x v="0"/>
  </r>
  <r>
    <s v="ORD-2024-0177"/>
    <x v="119"/>
    <s v="CUST-0023"/>
    <x v="50"/>
    <s v="Cardiff"/>
    <x v="8"/>
    <x v="28"/>
    <x v="4"/>
    <n v="1"/>
    <n v="54.99"/>
    <n v="54.99"/>
    <n v="36.020000000000003"/>
    <n v="18.97"/>
    <x v="0"/>
    <x v="0"/>
  </r>
  <r>
    <s v="ORD-2024-0177"/>
    <x v="119"/>
    <s v="CUST-0023"/>
    <x v="50"/>
    <s v="Cardiff"/>
    <x v="8"/>
    <x v="14"/>
    <x v="2"/>
    <n v="2"/>
    <n v="19.989999999999998"/>
    <n v="39.979999999999997"/>
    <n v="19.79"/>
    <n v="20.190000000000001"/>
    <x v="0"/>
    <x v="0"/>
  </r>
  <r>
    <s v="ORD-2024-0178"/>
    <x v="120"/>
    <s v="CUST-0170"/>
    <x v="99"/>
    <s v="London"/>
    <x v="0"/>
    <x v="9"/>
    <x v="3"/>
    <n v="1"/>
    <n v="34.99"/>
    <n v="34.99"/>
    <n v="21.87"/>
    <n v="13.12"/>
    <x v="0"/>
    <x v="0"/>
  </r>
  <r>
    <s v="ORD-2024-0178"/>
    <x v="120"/>
    <s v="CUST-0170"/>
    <x v="99"/>
    <s v="London"/>
    <x v="0"/>
    <x v="1"/>
    <x v="1"/>
    <n v="1"/>
    <n v="8.99"/>
    <n v="8.99"/>
    <n v="4"/>
    <n v="4.99"/>
    <x v="0"/>
    <x v="0"/>
  </r>
  <r>
    <s v="ORD-2024-0179"/>
    <x v="121"/>
    <s v="CUST-0021"/>
    <x v="58"/>
    <s v="Edinburgh"/>
    <x v="6"/>
    <x v="7"/>
    <x v="4"/>
    <n v="2"/>
    <n v="24.99"/>
    <n v="49.98"/>
    <n v="31.49"/>
    <n v="18.489999999999998"/>
    <x v="1"/>
    <x v="1"/>
  </r>
  <r>
    <s v="ORD-2024-0179"/>
    <x v="121"/>
    <s v="CUST-0021"/>
    <x v="58"/>
    <s v="Edinburgh"/>
    <x v="6"/>
    <x v="8"/>
    <x v="3"/>
    <n v="1"/>
    <n v="89.99"/>
    <n v="89.99"/>
    <n v="66.59"/>
    <n v="23.4"/>
    <x v="1"/>
    <x v="1"/>
  </r>
  <r>
    <s v="ORD-2024-0180"/>
    <x v="121"/>
    <s v="CUST-0078"/>
    <x v="100"/>
    <s v="London"/>
    <x v="0"/>
    <x v="11"/>
    <x v="4"/>
    <n v="3"/>
    <n v="94.99"/>
    <n v="284.97000000000003"/>
    <n v="223.7"/>
    <n v="61.27"/>
    <x v="4"/>
    <x v="3"/>
  </r>
  <r>
    <s v="ORD-2024-0180"/>
    <x v="121"/>
    <s v="CUST-0078"/>
    <x v="100"/>
    <s v="London"/>
    <x v="0"/>
    <x v="21"/>
    <x v="1"/>
    <n v="2"/>
    <n v="119.99"/>
    <n v="239.98"/>
    <n v="181.18"/>
    <n v="58.8"/>
    <x v="4"/>
    <x v="3"/>
  </r>
  <r>
    <s v="ORD-2024-0181"/>
    <x v="122"/>
    <s v="CUST-0042"/>
    <x v="97"/>
    <s v="Sheffield"/>
    <x v="2"/>
    <x v="17"/>
    <x v="0"/>
    <n v="1"/>
    <n v="84.99"/>
    <n v="84.99"/>
    <n v="62.04"/>
    <n v="22.95"/>
    <x v="6"/>
    <x v="1"/>
  </r>
  <r>
    <s v="ORD-2024-0182"/>
    <x v="123"/>
    <s v="CUST-0009"/>
    <x v="34"/>
    <s v="Brighton"/>
    <x v="3"/>
    <x v="24"/>
    <x v="4"/>
    <n v="2"/>
    <n v="44.99"/>
    <n v="89.98"/>
    <n v="59.39"/>
    <n v="30.59"/>
    <x v="1"/>
    <x v="1"/>
  </r>
  <r>
    <s v="ORD-2024-0183"/>
    <x v="124"/>
    <s v="CUST-0013"/>
    <x v="19"/>
    <s v="Sheffield"/>
    <x v="2"/>
    <x v="27"/>
    <x v="0"/>
    <n v="1"/>
    <n v="24.99"/>
    <n v="24.99"/>
    <n v="13.49"/>
    <n v="11.5"/>
    <x v="6"/>
    <x v="1"/>
  </r>
  <r>
    <s v="ORD-2024-0183"/>
    <x v="124"/>
    <s v="CUST-0013"/>
    <x v="19"/>
    <s v="Sheffield"/>
    <x v="2"/>
    <x v="4"/>
    <x v="3"/>
    <n v="1"/>
    <n v="67.989999999999995"/>
    <n v="67.989999999999995"/>
    <n v="56.63"/>
    <n v="11.36"/>
    <x v="6"/>
    <x v="1"/>
  </r>
  <r>
    <s v="ORD-2024-0184"/>
    <x v="124"/>
    <s v="CUST-0087"/>
    <x v="79"/>
    <s v="London"/>
    <x v="0"/>
    <x v="15"/>
    <x v="4"/>
    <n v="1"/>
    <n v="37.99"/>
    <n v="37.99"/>
    <n v="25.35"/>
    <n v="12.64"/>
    <x v="4"/>
    <x v="2"/>
  </r>
  <r>
    <s v="ORD-2024-0185"/>
    <x v="125"/>
    <s v="CUST-0155"/>
    <x v="57"/>
    <s v="Leeds"/>
    <x v="2"/>
    <x v="1"/>
    <x v="1"/>
    <n v="1"/>
    <n v="8.99"/>
    <n v="8.99"/>
    <n v="4"/>
    <n v="4.99"/>
    <x v="1"/>
    <x v="0"/>
  </r>
  <r>
    <s v="ORD-2024-0186"/>
    <x v="126"/>
    <s v="CUST-0015"/>
    <x v="30"/>
    <s v="London"/>
    <x v="0"/>
    <x v="11"/>
    <x v="4"/>
    <n v="1"/>
    <n v="94.99"/>
    <n v="94.99"/>
    <n v="73.62"/>
    <n v="21.37"/>
    <x v="3"/>
    <x v="0"/>
  </r>
  <r>
    <s v="ORD-2024-0186"/>
    <x v="126"/>
    <s v="CUST-0015"/>
    <x v="30"/>
    <s v="London"/>
    <x v="0"/>
    <x v="5"/>
    <x v="1"/>
    <n v="1"/>
    <n v="12.99"/>
    <n v="12.99"/>
    <n v="6.17"/>
    <n v="6.82"/>
    <x v="3"/>
    <x v="0"/>
  </r>
  <r>
    <s v="ORD-2024-0187"/>
    <x v="127"/>
    <s v="CUST-0047"/>
    <x v="5"/>
    <s v="London"/>
    <x v="0"/>
    <x v="12"/>
    <x v="0"/>
    <n v="1"/>
    <n v="18.989999999999998"/>
    <n v="18.989999999999998"/>
    <n v="9.2100000000000009"/>
    <n v="9.7799999999999994"/>
    <x v="1"/>
    <x v="0"/>
  </r>
  <r>
    <s v="ORD-2024-0188"/>
    <x v="128"/>
    <s v="CUST-0021"/>
    <x v="58"/>
    <s v="Edinburgh"/>
    <x v="6"/>
    <x v="1"/>
    <x v="1"/>
    <n v="1"/>
    <n v="8.09"/>
    <n v="8.09"/>
    <n v="3.95"/>
    <n v="4.1399999999999997"/>
    <x v="2"/>
    <x v="0"/>
  </r>
  <r>
    <s v="ORD-2024-0189"/>
    <x v="128"/>
    <s v="CUST-0099"/>
    <x v="101"/>
    <s v="Birmingham"/>
    <x v="5"/>
    <x v="6"/>
    <x v="0"/>
    <n v="1"/>
    <n v="14.24"/>
    <n v="14.24"/>
    <n v="6.78"/>
    <n v="7.46"/>
    <x v="3"/>
    <x v="0"/>
  </r>
  <r>
    <s v="ORD-2024-0190"/>
    <x v="129"/>
    <s v="CUST-0016"/>
    <x v="102"/>
    <s v="Manchester"/>
    <x v="1"/>
    <x v="0"/>
    <x v="0"/>
    <n v="3"/>
    <n v="26.99"/>
    <n v="80.97"/>
    <n v="44.13"/>
    <n v="36.840000000000003"/>
    <x v="4"/>
    <x v="3"/>
  </r>
  <r>
    <s v="ORD-2024-0191"/>
    <x v="130"/>
    <s v="CUST-0004"/>
    <x v="69"/>
    <s v="Leeds"/>
    <x v="2"/>
    <x v="14"/>
    <x v="2"/>
    <n v="1"/>
    <n v="17.989999999999998"/>
    <n v="17.989999999999998"/>
    <n v="9.7899999999999991"/>
    <n v="8.1999999999999993"/>
    <x v="4"/>
    <x v="0"/>
  </r>
  <r>
    <s v="ORD-2024-0192"/>
    <x v="131"/>
    <s v="CUST-0042"/>
    <x v="97"/>
    <s v="Sheffield"/>
    <x v="2"/>
    <x v="8"/>
    <x v="3"/>
    <n v="2"/>
    <n v="80.989999999999995"/>
    <n v="161.97999999999999"/>
    <n v="131.75"/>
    <n v="30.23"/>
    <x v="1"/>
    <x v="1"/>
  </r>
  <r>
    <s v="ORD-2024-0193"/>
    <x v="132"/>
    <s v="CUST-0016"/>
    <x v="102"/>
    <s v="Manchester"/>
    <x v="1"/>
    <x v="9"/>
    <x v="3"/>
    <n v="1"/>
    <n v="33.24"/>
    <n v="33.24"/>
    <n v="23.93"/>
    <n v="9.31"/>
    <x v="0"/>
    <x v="2"/>
  </r>
  <r>
    <s v="ORD-2024-0193"/>
    <x v="132"/>
    <s v="CUST-0016"/>
    <x v="102"/>
    <s v="Manchester"/>
    <x v="1"/>
    <x v="8"/>
    <x v="3"/>
    <n v="1"/>
    <n v="89.99"/>
    <n v="89.99"/>
    <n v="70.19"/>
    <n v="19.8"/>
    <x v="0"/>
    <x v="2"/>
  </r>
  <r>
    <s v="ORD-2024-0194"/>
    <x v="132"/>
    <s v="CUST-0023"/>
    <x v="50"/>
    <s v="Cardiff"/>
    <x v="8"/>
    <x v="19"/>
    <x v="4"/>
    <n v="2"/>
    <n v="139.99"/>
    <n v="279.98"/>
    <n v="214.18"/>
    <n v="65.8"/>
    <x v="2"/>
    <x v="0"/>
  </r>
  <r>
    <s v="ORD-2024-0195"/>
    <x v="133"/>
    <s v="CUST-0021"/>
    <x v="58"/>
    <s v="Edinburgh"/>
    <x v="6"/>
    <x v="10"/>
    <x v="4"/>
    <n v="2"/>
    <n v="69.989999999999995"/>
    <n v="139.97999999999999"/>
    <n v="93.09"/>
    <n v="46.89"/>
    <x v="0"/>
    <x v="0"/>
  </r>
  <r>
    <s v="ORD-2024-0196"/>
    <x v="133"/>
    <s v="CUST-0065"/>
    <x v="75"/>
    <s v="Brighton"/>
    <x v="3"/>
    <x v="9"/>
    <x v="3"/>
    <n v="1"/>
    <n v="34.99"/>
    <n v="34.99"/>
    <n v="22.22"/>
    <n v="12.77"/>
    <x v="1"/>
    <x v="3"/>
  </r>
  <r>
    <s v="ORD-2024-0196"/>
    <x v="133"/>
    <s v="CUST-0065"/>
    <x v="75"/>
    <s v="Brighton"/>
    <x v="3"/>
    <x v="1"/>
    <x v="1"/>
    <n v="1"/>
    <n v="8.99"/>
    <n v="8.99"/>
    <n v="4.09"/>
    <n v="4.9000000000000004"/>
    <x v="1"/>
    <x v="3"/>
  </r>
  <r>
    <s v="ORD-2024-0197"/>
    <x v="134"/>
    <s v="CUST-0004"/>
    <x v="69"/>
    <s v="Leeds"/>
    <x v="2"/>
    <x v="15"/>
    <x v="4"/>
    <n v="1"/>
    <n v="37.99"/>
    <n v="37.99"/>
    <n v="22.88"/>
    <n v="15.11"/>
    <x v="4"/>
    <x v="0"/>
  </r>
  <r>
    <s v="ORD-2024-0198"/>
    <x v="135"/>
    <s v="CUST-0014"/>
    <x v="49"/>
    <s v="Cardiff"/>
    <x v="8"/>
    <x v="29"/>
    <x v="4"/>
    <n v="1"/>
    <n v="56.99"/>
    <n v="56.99"/>
    <n v="40.93"/>
    <n v="16.059999999999999"/>
    <x v="0"/>
    <x v="0"/>
  </r>
  <r>
    <s v="ORD-2024-0198"/>
    <x v="135"/>
    <s v="CUST-0014"/>
    <x v="49"/>
    <s v="Cardiff"/>
    <x v="8"/>
    <x v="15"/>
    <x v="4"/>
    <n v="2"/>
    <n v="39.99"/>
    <n v="79.98"/>
    <n v="45.99"/>
    <n v="33.99"/>
    <x v="0"/>
    <x v="0"/>
  </r>
  <r>
    <s v="ORD-2024-0199"/>
    <x v="136"/>
    <s v="CUST-0092"/>
    <x v="60"/>
    <s v="London"/>
    <x v="0"/>
    <x v="23"/>
    <x v="1"/>
    <n v="1"/>
    <n v="74.989999999999995"/>
    <n v="74.989999999999995"/>
    <n v="52.49"/>
    <n v="22.5"/>
    <x v="6"/>
    <x v="1"/>
  </r>
  <r>
    <s v="ORD-2024-0200"/>
    <x v="136"/>
    <s v="CUST-0103"/>
    <x v="103"/>
    <s v="Newcastle"/>
    <x v="9"/>
    <x v="1"/>
    <x v="1"/>
    <n v="2"/>
    <n v="8.5399999999999991"/>
    <n v="17.079999999999998"/>
    <n v="7.95"/>
    <n v="9.1300000000000008"/>
    <x v="0"/>
    <x v="0"/>
  </r>
  <r>
    <s v="ORD-2024-0200"/>
    <x v="136"/>
    <s v="CUST-0103"/>
    <x v="103"/>
    <s v="Newcastle"/>
    <x v="9"/>
    <x v="27"/>
    <x v="0"/>
    <n v="1"/>
    <n v="21.24"/>
    <n v="21.24"/>
    <n v="12.66"/>
    <n v="8.58"/>
    <x v="0"/>
    <x v="0"/>
  </r>
  <r>
    <s v="ORD-2024-0200"/>
    <x v="136"/>
    <s v="CUST-0103"/>
    <x v="103"/>
    <s v="Newcastle"/>
    <x v="9"/>
    <x v="20"/>
    <x v="1"/>
    <n v="2"/>
    <n v="6.39"/>
    <n v="12.78"/>
    <n v="8.3699999999999992"/>
    <n v="4.41"/>
    <x v="0"/>
    <x v="0"/>
  </r>
  <r>
    <s v="ORD-2024-0201"/>
    <x v="137"/>
    <s v="CUST-0146"/>
    <x v="104"/>
    <s v="Manchester"/>
    <x v="1"/>
    <x v="20"/>
    <x v="1"/>
    <n v="2"/>
    <n v="7.59"/>
    <n v="15.18"/>
    <n v="8.66"/>
    <n v="6.52"/>
    <x v="4"/>
    <x v="3"/>
  </r>
  <r>
    <s v="ORD-2024-0201"/>
    <x v="137"/>
    <s v="CUST-0146"/>
    <x v="104"/>
    <s v="Manchester"/>
    <x v="1"/>
    <x v="11"/>
    <x v="4"/>
    <n v="1"/>
    <n v="90.24"/>
    <n v="90.24"/>
    <n v="74.260000000000005"/>
    <n v="15.98"/>
    <x v="4"/>
    <x v="3"/>
  </r>
  <r>
    <s v="ORD-2024-0201"/>
    <x v="137"/>
    <s v="CUST-0146"/>
    <x v="104"/>
    <s v="Manchester"/>
    <x v="1"/>
    <x v="10"/>
    <x v="4"/>
    <n v="3"/>
    <n v="69.989999999999995"/>
    <n v="209.97"/>
    <n v="141.72999999999999"/>
    <n v="68.239999999999995"/>
    <x v="4"/>
    <x v="3"/>
  </r>
  <r>
    <s v="ORD-2024-0202"/>
    <x v="138"/>
    <s v="CUST-0085"/>
    <x v="105"/>
    <s v="Cardiff"/>
    <x v="8"/>
    <x v="11"/>
    <x v="4"/>
    <n v="1"/>
    <n v="94.99"/>
    <n v="94.99"/>
    <n v="73.62"/>
    <n v="21.37"/>
    <x v="4"/>
    <x v="0"/>
  </r>
  <r>
    <s v="ORD-2024-0203"/>
    <x v="139"/>
    <s v="CUST-0157"/>
    <x v="106"/>
    <s v="London"/>
    <x v="0"/>
    <x v="5"/>
    <x v="1"/>
    <n v="1"/>
    <n v="12.99"/>
    <n v="12.99"/>
    <n v="6.17"/>
    <n v="6.82"/>
    <x v="3"/>
    <x v="0"/>
  </r>
  <r>
    <s v="ORD-2024-0203"/>
    <x v="139"/>
    <s v="CUST-0157"/>
    <x v="106"/>
    <s v="London"/>
    <x v="0"/>
    <x v="18"/>
    <x v="2"/>
    <n v="1"/>
    <n v="44.99"/>
    <n v="44.99"/>
    <n v="26.77"/>
    <n v="18.22"/>
    <x v="3"/>
    <x v="0"/>
  </r>
  <r>
    <s v="ORD-2024-0204"/>
    <x v="140"/>
    <s v="CUST-0007"/>
    <x v="107"/>
    <s v="Southampton"/>
    <x v="3"/>
    <x v="1"/>
    <x v="1"/>
    <n v="6"/>
    <n v="7.19"/>
    <n v="43.14"/>
    <n v="23.84"/>
    <n v="19.3"/>
    <x v="4"/>
    <x v="3"/>
  </r>
  <r>
    <s v="ORD-2024-0204"/>
    <x v="140"/>
    <s v="CUST-0007"/>
    <x v="107"/>
    <s v="Southampton"/>
    <x v="3"/>
    <x v="12"/>
    <x v="0"/>
    <n v="2"/>
    <n v="18.989999999999998"/>
    <n v="37.979999999999997"/>
    <n v="18.8"/>
    <n v="19.18"/>
    <x v="4"/>
    <x v="3"/>
  </r>
  <r>
    <s v="ORD-2024-0204"/>
    <x v="140"/>
    <s v="CUST-0007"/>
    <x v="107"/>
    <s v="Southampton"/>
    <x v="3"/>
    <x v="0"/>
    <x v="0"/>
    <n v="5"/>
    <n v="26.99"/>
    <n v="134.94999999999999"/>
    <n v="73.55"/>
    <n v="61.4"/>
    <x v="4"/>
    <x v="3"/>
  </r>
  <r>
    <s v="ORD-2024-0205"/>
    <x v="140"/>
    <s v="CUST-0107"/>
    <x v="22"/>
    <s v="Newcastle"/>
    <x v="9"/>
    <x v="11"/>
    <x v="4"/>
    <n v="1"/>
    <n v="90.24"/>
    <n v="90.24"/>
    <n v="73.36"/>
    <n v="16.88"/>
    <x v="1"/>
    <x v="0"/>
  </r>
  <r>
    <s v="ORD-2024-0206"/>
    <x v="141"/>
    <s v="CUST-0001"/>
    <x v="21"/>
    <s v="Bristol"/>
    <x v="7"/>
    <x v="0"/>
    <x v="0"/>
    <n v="1"/>
    <n v="26.99"/>
    <n v="26.99"/>
    <n v="14.44"/>
    <n v="12.55"/>
    <x v="1"/>
    <x v="0"/>
  </r>
  <r>
    <s v="ORD-2024-0206"/>
    <x v="141"/>
    <s v="CUST-0001"/>
    <x v="21"/>
    <s v="Bristol"/>
    <x v="7"/>
    <x v="20"/>
    <x v="1"/>
    <n v="2"/>
    <n v="7.99"/>
    <n v="15.98"/>
    <n v="8.5500000000000007"/>
    <n v="7.43"/>
    <x v="1"/>
    <x v="0"/>
  </r>
  <r>
    <s v="ORD-2024-0207"/>
    <x v="142"/>
    <s v="CUST-0003"/>
    <x v="45"/>
    <s v="Glasgow"/>
    <x v="6"/>
    <x v="11"/>
    <x v="4"/>
    <n v="1"/>
    <n v="94.99"/>
    <n v="94.99"/>
    <n v="79.790000000000006"/>
    <n v="15.2"/>
    <x v="0"/>
    <x v="2"/>
  </r>
  <r>
    <s v="ORD-2024-0208"/>
    <x v="142"/>
    <s v="CUST-0081"/>
    <x v="96"/>
    <s v="Southampton"/>
    <x v="3"/>
    <x v="29"/>
    <x v="4"/>
    <n v="1"/>
    <n v="47.99"/>
    <n v="47.99"/>
    <n v="41.63"/>
    <n v="6.36"/>
    <x v="4"/>
    <x v="1"/>
  </r>
  <r>
    <s v="ORD-2024-0209"/>
    <x v="143"/>
    <s v="CUST-0092"/>
    <x v="60"/>
    <s v="London"/>
    <x v="0"/>
    <x v="9"/>
    <x v="3"/>
    <n v="2"/>
    <n v="34.99"/>
    <n v="69.98"/>
    <n v="48.29"/>
    <n v="21.69"/>
    <x v="0"/>
    <x v="2"/>
  </r>
  <r>
    <s v="ORD-2024-0210"/>
    <x v="143"/>
    <s v="CUST-0110"/>
    <x v="108"/>
    <s v="Cardiff"/>
    <x v="8"/>
    <x v="6"/>
    <x v="0"/>
    <n v="2"/>
    <n v="13.49"/>
    <n v="26.98"/>
    <n v="13.48"/>
    <n v="13.5"/>
    <x v="0"/>
    <x v="0"/>
  </r>
  <r>
    <s v="ORD-2024-0210"/>
    <x v="143"/>
    <s v="CUST-0110"/>
    <x v="108"/>
    <s v="Cardiff"/>
    <x v="8"/>
    <x v="20"/>
    <x v="1"/>
    <n v="1"/>
    <n v="7.99"/>
    <n v="7.99"/>
    <n v="4.2699999999999996"/>
    <n v="3.72"/>
    <x v="0"/>
    <x v="0"/>
  </r>
  <r>
    <s v="ORD-2024-0211"/>
    <x v="143"/>
    <s v="CUST-0156"/>
    <x v="109"/>
    <s v="Brighton"/>
    <x v="3"/>
    <x v="1"/>
    <x v="1"/>
    <n v="1"/>
    <n v="8.99"/>
    <n v="8.99"/>
    <n v="4.2300000000000004"/>
    <n v="4.76"/>
    <x v="4"/>
    <x v="1"/>
  </r>
  <r>
    <s v="ORD-2024-0212"/>
    <x v="144"/>
    <s v="CUST-0044"/>
    <x v="31"/>
    <s v="Manchester"/>
    <x v="1"/>
    <x v="2"/>
    <x v="2"/>
    <n v="3"/>
    <n v="66.489999999999995"/>
    <n v="199.47"/>
    <n v="152.02000000000001"/>
    <n v="47.45"/>
    <x v="1"/>
    <x v="2"/>
  </r>
  <r>
    <s v="ORD-2024-0213"/>
    <x v="144"/>
    <s v="CUST-0046"/>
    <x v="95"/>
    <s v="London"/>
    <x v="0"/>
    <x v="18"/>
    <x v="2"/>
    <n v="2"/>
    <n v="40.49"/>
    <n v="80.98"/>
    <n v="55.07"/>
    <n v="25.91"/>
    <x v="4"/>
    <x v="1"/>
  </r>
  <r>
    <s v="ORD-2024-0214"/>
    <x v="144"/>
    <s v="CUST-0058"/>
    <x v="110"/>
    <s v="Cambridge"/>
    <x v="10"/>
    <x v="28"/>
    <x v="4"/>
    <n v="3"/>
    <n v="46.74"/>
    <n v="140.22"/>
    <n v="108.1"/>
    <n v="32.119999999999997"/>
    <x v="4"/>
    <x v="3"/>
  </r>
  <r>
    <s v="ORD-2024-0215"/>
    <x v="145"/>
    <s v="CUST-0028"/>
    <x v="0"/>
    <s v="London"/>
    <x v="0"/>
    <x v="12"/>
    <x v="0"/>
    <n v="1"/>
    <n v="17.09"/>
    <n v="17.09"/>
    <n v="9.11"/>
    <n v="7.98"/>
    <x v="4"/>
    <x v="0"/>
  </r>
  <r>
    <s v="ORD-2024-0216"/>
    <x v="146"/>
    <s v="CUST-0043"/>
    <x v="63"/>
    <s v="Birmingham"/>
    <x v="5"/>
    <x v="23"/>
    <x v="1"/>
    <n v="1"/>
    <n v="67.489999999999995"/>
    <n v="67.489999999999995"/>
    <n v="50.21"/>
    <n v="17.28"/>
    <x v="0"/>
    <x v="0"/>
  </r>
  <r>
    <s v="ORD-2024-0216"/>
    <x v="146"/>
    <s v="CUST-0043"/>
    <x v="63"/>
    <s v="Birmingham"/>
    <x v="5"/>
    <x v="28"/>
    <x v="4"/>
    <n v="2"/>
    <n v="52.24"/>
    <n v="104.48"/>
    <n v="71.73"/>
    <n v="32.75"/>
    <x v="0"/>
    <x v="0"/>
  </r>
  <r>
    <s v="ORD-2024-0217"/>
    <x v="146"/>
    <s v="CUST-0043"/>
    <x v="63"/>
    <s v="Birmingham"/>
    <x v="5"/>
    <x v="24"/>
    <x v="4"/>
    <n v="1"/>
    <n v="44.99"/>
    <n v="44.99"/>
    <n v="31.49"/>
    <n v="13.5"/>
    <x v="3"/>
    <x v="2"/>
  </r>
  <r>
    <s v="ORD-2024-0217"/>
    <x v="146"/>
    <s v="CUST-0043"/>
    <x v="63"/>
    <s v="Birmingham"/>
    <x v="5"/>
    <x v="15"/>
    <x v="4"/>
    <n v="2"/>
    <n v="39.99"/>
    <n v="79.98"/>
    <n v="51.19"/>
    <n v="28.79"/>
    <x v="3"/>
    <x v="2"/>
  </r>
  <r>
    <s v="ORD-2024-0218"/>
    <x v="147"/>
    <s v="CUST-0129"/>
    <x v="74"/>
    <s v="Bristol"/>
    <x v="7"/>
    <x v="15"/>
    <x v="4"/>
    <n v="2"/>
    <n v="39.99"/>
    <n v="79.98"/>
    <n v="47.99"/>
    <n v="31.99"/>
    <x v="1"/>
    <x v="1"/>
  </r>
  <r>
    <s v="ORD-2024-0219"/>
    <x v="148"/>
    <s v="CUST-0002"/>
    <x v="3"/>
    <s v="Sheffield"/>
    <x v="2"/>
    <x v="8"/>
    <x v="3"/>
    <n v="1"/>
    <n v="89.99"/>
    <n v="89.99"/>
    <n v="64.34"/>
    <n v="25.65"/>
    <x v="0"/>
    <x v="0"/>
  </r>
  <r>
    <s v="ORD-2024-0219"/>
    <x v="148"/>
    <s v="CUST-0002"/>
    <x v="3"/>
    <s v="Sheffield"/>
    <x v="2"/>
    <x v="3"/>
    <x v="3"/>
    <n v="1"/>
    <n v="29.99"/>
    <n v="29.99"/>
    <n v="16.34"/>
    <n v="13.65"/>
    <x v="0"/>
    <x v="0"/>
  </r>
  <r>
    <s v="ORD-2024-0219"/>
    <x v="148"/>
    <s v="CUST-0002"/>
    <x v="3"/>
    <s v="Sheffield"/>
    <x v="2"/>
    <x v="28"/>
    <x v="4"/>
    <n v="1"/>
    <n v="46.74"/>
    <n v="46.74"/>
    <n v="35.56"/>
    <n v="11.18"/>
    <x v="0"/>
    <x v="0"/>
  </r>
  <r>
    <s v="ORD-2024-0220"/>
    <x v="149"/>
    <s v="CUST-0046"/>
    <x v="95"/>
    <s v="London"/>
    <x v="0"/>
    <x v="20"/>
    <x v="1"/>
    <n v="2"/>
    <n v="7.59"/>
    <n v="15.18"/>
    <n v="8.51"/>
    <n v="6.67"/>
    <x v="1"/>
    <x v="0"/>
  </r>
  <r>
    <s v="ORD-2024-0220"/>
    <x v="149"/>
    <s v="CUST-0046"/>
    <x v="95"/>
    <s v="London"/>
    <x v="0"/>
    <x v="23"/>
    <x v="1"/>
    <n v="1"/>
    <n v="74.989999999999995"/>
    <n v="74.989999999999995"/>
    <n v="50.62"/>
    <n v="24.37"/>
    <x v="1"/>
    <x v="0"/>
  </r>
  <r>
    <s v="ORD-2024-0221"/>
    <x v="150"/>
    <s v="CUST-0034"/>
    <x v="11"/>
    <s v="Liverpool"/>
    <x v="1"/>
    <x v="24"/>
    <x v="4"/>
    <n v="2"/>
    <n v="44.99"/>
    <n v="89.98"/>
    <n v="57.14"/>
    <n v="32.840000000000003"/>
    <x v="0"/>
    <x v="0"/>
  </r>
  <r>
    <s v="ORD-2024-0222"/>
    <x v="150"/>
    <s v="CUST-0080"/>
    <x v="80"/>
    <s v="Brighton"/>
    <x v="3"/>
    <x v="28"/>
    <x v="4"/>
    <n v="1"/>
    <n v="54.99"/>
    <n v="54.99"/>
    <n v="36.020000000000003"/>
    <n v="18.97"/>
    <x v="4"/>
    <x v="0"/>
  </r>
  <r>
    <s v="ORD-2024-0223"/>
    <x v="151"/>
    <s v="CUST-0004"/>
    <x v="69"/>
    <s v="Leeds"/>
    <x v="2"/>
    <x v="14"/>
    <x v="2"/>
    <n v="1"/>
    <n v="19.989999999999998"/>
    <n v="19.989999999999998"/>
    <n v="9.9"/>
    <n v="10.09"/>
    <x v="1"/>
    <x v="0"/>
  </r>
  <r>
    <s v="ORD-2024-0224"/>
    <x v="151"/>
    <s v="CUST-0044"/>
    <x v="31"/>
    <s v="Manchester"/>
    <x v="1"/>
    <x v="12"/>
    <x v="0"/>
    <n v="2"/>
    <n v="18.989999999999998"/>
    <n v="37.979999999999997"/>
    <n v="19.37"/>
    <n v="18.61"/>
    <x v="6"/>
    <x v="1"/>
  </r>
  <r>
    <s v="ORD-2024-0224"/>
    <x v="151"/>
    <s v="CUST-0044"/>
    <x v="31"/>
    <s v="Manchester"/>
    <x v="1"/>
    <x v="29"/>
    <x v="4"/>
    <n v="1"/>
    <n v="56.99"/>
    <n v="56.99"/>
    <n v="42.35"/>
    <n v="14.64"/>
    <x v="6"/>
    <x v="1"/>
  </r>
  <r>
    <s v="ORD-2024-0225"/>
    <x v="151"/>
    <s v="CUST-0075"/>
    <x v="65"/>
    <s v="Manchester"/>
    <x v="1"/>
    <x v="12"/>
    <x v="0"/>
    <n v="3"/>
    <n v="18.989999999999998"/>
    <n v="56.97"/>
    <n v="29.05"/>
    <n v="27.92"/>
    <x v="1"/>
    <x v="1"/>
  </r>
  <r>
    <s v="ORD-2024-0226"/>
    <x v="152"/>
    <s v="CUST-0148"/>
    <x v="111"/>
    <s v="Bristol"/>
    <x v="7"/>
    <x v="10"/>
    <x v="4"/>
    <n v="3"/>
    <n v="69.989999999999995"/>
    <n v="209.97"/>
    <n v="144.88"/>
    <n v="65.09"/>
    <x v="2"/>
    <x v="1"/>
  </r>
  <r>
    <s v="ORD-2024-0227"/>
    <x v="153"/>
    <s v="CUST-0040"/>
    <x v="112"/>
    <s v="Brighton"/>
    <x v="3"/>
    <x v="23"/>
    <x v="1"/>
    <n v="1"/>
    <n v="74.989999999999995"/>
    <n v="74.989999999999995"/>
    <n v="50.62"/>
    <n v="24.37"/>
    <x v="0"/>
    <x v="0"/>
  </r>
  <r>
    <s v="ORD-2024-0228"/>
    <x v="154"/>
    <s v="CUST-0051"/>
    <x v="113"/>
    <s v="London"/>
    <x v="0"/>
    <x v="22"/>
    <x v="2"/>
    <n v="1"/>
    <n v="32.99"/>
    <n v="32.99"/>
    <n v="18.64"/>
    <n v="14.35"/>
    <x v="4"/>
    <x v="0"/>
  </r>
  <r>
    <s v="ORD-2024-0228"/>
    <x v="154"/>
    <s v="CUST-0051"/>
    <x v="113"/>
    <s v="London"/>
    <x v="0"/>
    <x v="14"/>
    <x v="2"/>
    <n v="1"/>
    <n v="17.989999999999998"/>
    <n v="17.989999999999998"/>
    <n v="9.7899999999999991"/>
    <n v="8.1999999999999993"/>
    <x v="4"/>
    <x v="0"/>
  </r>
  <r>
    <s v="ORD-2024-0229"/>
    <x v="154"/>
    <s v="CUST-0164"/>
    <x v="47"/>
    <s v="Brighton"/>
    <x v="3"/>
    <x v="22"/>
    <x v="2"/>
    <n v="1"/>
    <n v="31.34"/>
    <n v="31.34"/>
    <n v="19.329999999999998"/>
    <n v="12.01"/>
    <x v="1"/>
    <x v="1"/>
  </r>
  <r>
    <s v="ORD-2024-0230"/>
    <x v="155"/>
    <s v="CUST-0102"/>
    <x v="51"/>
    <s v="London"/>
    <x v="0"/>
    <x v="24"/>
    <x v="4"/>
    <n v="3"/>
    <n v="38.24"/>
    <n v="114.72"/>
    <n v="92.05"/>
    <n v="22.67"/>
    <x v="4"/>
    <x v="2"/>
  </r>
  <r>
    <s v="ORD-2024-0230"/>
    <x v="155"/>
    <s v="CUST-0102"/>
    <x v="51"/>
    <s v="London"/>
    <x v="0"/>
    <x v="26"/>
    <x v="3"/>
    <n v="3"/>
    <n v="109.99"/>
    <n v="329.97"/>
    <n v="263.98"/>
    <n v="65.989999999999995"/>
    <x v="4"/>
    <x v="2"/>
  </r>
  <r>
    <s v="ORD-2024-0231"/>
    <x v="156"/>
    <s v="CUST-0015"/>
    <x v="30"/>
    <s v="London"/>
    <x v="0"/>
    <x v="7"/>
    <x v="4"/>
    <n v="2"/>
    <n v="24.99"/>
    <n v="49.98"/>
    <n v="30.24"/>
    <n v="19.739999999999998"/>
    <x v="2"/>
    <x v="0"/>
  </r>
  <r>
    <s v="ORD-2024-0231"/>
    <x v="156"/>
    <s v="CUST-0015"/>
    <x v="30"/>
    <s v="London"/>
    <x v="0"/>
    <x v="18"/>
    <x v="2"/>
    <n v="2"/>
    <n v="42.74"/>
    <n v="85.48"/>
    <n v="53.29"/>
    <n v="32.19"/>
    <x v="2"/>
    <x v="0"/>
  </r>
  <r>
    <s v="ORD-2024-0232"/>
    <x v="156"/>
    <s v="CUST-0028"/>
    <x v="0"/>
    <s v="London"/>
    <x v="0"/>
    <x v="8"/>
    <x v="3"/>
    <n v="1"/>
    <n v="89.99"/>
    <n v="89.99"/>
    <n v="64.34"/>
    <n v="25.65"/>
    <x v="4"/>
    <x v="0"/>
  </r>
  <r>
    <s v="ORD-2024-0233"/>
    <x v="156"/>
    <s v="CUST-0039"/>
    <x v="61"/>
    <s v="Cambridge"/>
    <x v="10"/>
    <x v="19"/>
    <x v="4"/>
    <n v="1"/>
    <n v="132.99"/>
    <n v="132.99"/>
    <n v="106.71"/>
    <n v="26.28"/>
    <x v="4"/>
    <x v="0"/>
  </r>
  <r>
    <s v="ORD-2024-0234"/>
    <x v="156"/>
    <s v="CUST-0054"/>
    <x v="53"/>
    <s v="Sheffield"/>
    <x v="2"/>
    <x v="5"/>
    <x v="1"/>
    <n v="2"/>
    <n v="12.34"/>
    <n v="24.68"/>
    <n v="12.27"/>
    <n v="12.41"/>
    <x v="4"/>
    <x v="0"/>
  </r>
  <r>
    <s v="ORD-2024-0235"/>
    <x v="156"/>
    <s v="CUST-0080"/>
    <x v="80"/>
    <s v="Brighton"/>
    <x v="3"/>
    <x v="24"/>
    <x v="4"/>
    <n v="3"/>
    <n v="38.24"/>
    <n v="114.72"/>
    <n v="87.46"/>
    <n v="27.26"/>
    <x v="6"/>
    <x v="1"/>
  </r>
  <r>
    <s v="ORD-2024-0236"/>
    <x v="157"/>
    <s v="CUST-0012"/>
    <x v="41"/>
    <s v="Manchester"/>
    <x v="1"/>
    <x v="24"/>
    <x v="4"/>
    <n v="2"/>
    <n v="44.99"/>
    <n v="89.98"/>
    <n v="57.14"/>
    <n v="32.840000000000003"/>
    <x v="0"/>
    <x v="0"/>
  </r>
  <r>
    <s v="ORD-2024-0237"/>
    <x v="157"/>
    <s v="CUST-0018"/>
    <x v="90"/>
    <s v="Leeds"/>
    <x v="2"/>
    <x v="1"/>
    <x v="1"/>
    <n v="1"/>
    <n v="8.99"/>
    <n v="8.99"/>
    <n v="4"/>
    <n v="4.99"/>
    <x v="4"/>
    <x v="0"/>
  </r>
  <r>
    <s v="ORD-2024-0238"/>
    <x v="158"/>
    <s v="CUST-0012"/>
    <x v="41"/>
    <s v="Manchester"/>
    <x v="1"/>
    <x v="24"/>
    <x v="4"/>
    <n v="1"/>
    <n v="42.74"/>
    <n v="42.74"/>
    <n v="29.51"/>
    <n v="13.23"/>
    <x v="1"/>
    <x v="1"/>
  </r>
  <r>
    <s v="ORD-2024-0238"/>
    <x v="158"/>
    <s v="CUST-0012"/>
    <x v="41"/>
    <s v="Manchester"/>
    <x v="1"/>
    <x v="0"/>
    <x v="0"/>
    <n v="3"/>
    <n v="25.64"/>
    <n v="76.92"/>
    <n v="45.02"/>
    <n v="31.9"/>
    <x v="1"/>
    <x v="1"/>
  </r>
  <r>
    <s v="ORD-2024-0239"/>
    <x v="158"/>
    <s v="CUST-0034"/>
    <x v="11"/>
    <s v="Liverpool"/>
    <x v="1"/>
    <x v="24"/>
    <x v="4"/>
    <n v="1"/>
    <n v="40.49"/>
    <n v="40.49"/>
    <n v="29.33"/>
    <n v="11.16"/>
    <x v="1"/>
    <x v="1"/>
  </r>
  <r>
    <s v="ORD-2024-0239"/>
    <x v="158"/>
    <s v="CUST-0034"/>
    <x v="11"/>
    <s v="Liverpool"/>
    <x v="1"/>
    <x v="0"/>
    <x v="0"/>
    <n v="3"/>
    <n v="26.99"/>
    <n v="80.97"/>
    <n v="45.34"/>
    <n v="35.630000000000003"/>
    <x v="1"/>
    <x v="1"/>
  </r>
  <r>
    <s v="ORD-2024-0240"/>
    <x v="158"/>
    <s v="CUST-0157"/>
    <x v="106"/>
    <s v="London"/>
    <x v="0"/>
    <x v="20"/>
    <x v="1"/>
    <n v="6"/>
    <n v="7.99"/>
    <n v="47.94"/>
    <n v="25.65"/>
    <n v="22.29"/>
    <x v="0"/>
    <x v="0"/>
  </r>
  <r>
    <s v="ORD-2024-0241"/>
    <x v="159"/>
    <s v="CUST-0180"/>
    <x v="114"/>
    <s v="Leeds"/>
    <x v="2"/>
    <x v="2"/>
    <x v="2"/>
    <n v="1"/>
    <n v="62.99"/>
    <n v="62.99"/>
    <n v="50.25"/>
    <n v="12.74"/>
    <x v="1"/>
    <x v="2"/>
  </r>
  <r>
    <s v="ORD-2024-0241"/>
    <x v="159"/>
    <s v="CUST-0180"/>
    <x v="114"/>
    <s v="Leeds"/>
    <x v="2"/>
    <x v="15"/>
    <x v="4"/>
    <n v="1"/>
    <n v="39.99"/>
    <n v="39.99"/>
    <n v="25.59"/>
    <n v="14.4"/>
    <x v="1"/>
    <x v="2"/>
  </r>
  <r>
    <s v="ORD-2024-0242"/>
    <x v="160"/>
    <s v="CUST-0005"/>
    <x v="1"/>
    <s v="Liverpool"/>
    <x v="1"/>
    <x v="12"/>
    <x v="0"/>
    <n v="1"/>
    <n v="18.989999999999998"/>
    <n v="18.989999999999998"/>
    <n v="9.68"/>
    <n v="9.31"/>
    <x v="3"/>
    <x v="1"/>
  </r>
  <r>
    <s v="ORD-2024-0243"/>
    <x v="161"/>
    <s v="CUST-0018"/>
    <x v="90"/>
    <s v="Leeds"/>
    <x v="2"/>
    <x v="4"/>
    <x v="3"/>
    <n v="1"/>
    <n v="79.989999999999995"/>
    <n v="79.989999999999995"/>
    <n v="55.59"/>
    <n v="24.4"/>
    <x v="3"/>
    <x v="0"/>
  </r>
  <r>
    <s v="ORD-2024-0244"/>
    <x v="162"/>
    <s v="CUST-0005"/>
    <x v="1"/>
    <s v="Liverpool"/>
    <x v="1"/>
    <x v="15"/>
    <x v="4"/>
    <n v="1"/>
    <n v="39.99"/>
    <n v="39.99"/>
    <n v="22.99"/>
    <n v="17"/>
    <x v="1"/>
    <x v="0"/>
  </r>
  <r>
    <s v="ORD-2024-0245"/>
    <x v="162"/>
    <s v="CUST-0078"/>
    <x v="100"/>
    <s v="London"/>
    <x v="0"/>
    <x v="20"/>
    <x v="1"/>
    <n v="2"/>
    <n v="7.99"/>
    <n v="15.98"/>
    <n v="8.9499999999999993"/>
    <n v="7.03"/>
    <x v="1"/>
    <x v="1"/>
  </r>
  <r>
    <s v="ORD-2024-0246"/>
    <x v="163"/>
    <s v="CUST-0007"/>
    <x v="107"/>
    <s v="Southampton"/>
    <x v="3"/>
    <x v="28"/>
    <x v="4"/>
    <n v="1"/>
    <n v="52.24"/>
    <n v="52.24"/>
    <n v="35.869999999999997"/>
    <n v="16.37"/>
    <x v="0"/>
    <x v="0"/>
  </r>
  <r>
    <s v="ORD-2024-0247"/>
    <x v="164"/>
    <s v="CUST-0008"/>
    <x v="25"/>
    <s v="Glasgow"/>
    <x v="6"/>
    <x v="27"/>
    <x v="0"/>
    <n v="1"/>
    <n v="24.99"/>
    <n v="24.99"/>
    <n v="14.49"/>
    <n v="10.5"/>
    <x v="1"/>
    <x v="2"/>
  </r>
  <r>
    <s v="ORD-2024-0248"/>
    <x v="164"/>
    <s v="CUST-0082"/>
    <x v="115"/>
    <s v="Leeds"/>
    <x v="2"/>
    <x v="27"/>
    <x v="0"/>
    <n v="1"/>
    <n v="22.49"/>
    <n v="22.49"/>
    <n v="13.29"/>
    <n v="9.1999999999999993"/>
    <x v="3"/>
    <x v="1"/>
  </r>
  <r>
    <s v="ORD-2024-0248"/>
    <x v="164"/>
    <s v="CUST-0082"/>
    <x v="115"/>
    <s v="Leeds"/>
    <x v="2"/>
    <x v="28"/>
    <x v="4"/>
    <n v="1"/>
    <n v="54.99"/>
    <n v="54.99"/>
    <n v="37.39"/>
    <n v="17.600000000000001"/>
    <x v="3"/>
    <x v="1"/>
  </r>
  <r>
    <s v="ORD-2024-0249"/>
    <x v="165"/>
    <s v="CUST-0019"/>
    <x v="116"/>
    <s v="Sheffield"/>
    <x v="2"/>
    <x v="2"/>
    <x v="2"/>
    <n v="1"/>
    <n v="69.989999999999995"/>
    <n v="69.989999999999995"/>
    <n v="48.29"/>
    <n v="21.7"/>
    <x v="3"/>
    <x v="1"/>
  </r>
  <r>
    <s v="ORD-2024-0250"/>
    <x v="166"/>
    <s v="CUST-0027"/>
    <x v="14"/>
    <s v="Sheffield"/>
    <x v="2"/>
    <x v="3"/>
    <x v="3"/>
    <n v="2"/>
    <n v="29.99"/>
    <n v="59.98"/>
    <n v="32.69"/>
    <n v="27.29"/>
    <x v="1"/>
    <x v="0"/>
  </r>
  <r>
    <s v="ORD-2024-0250"/>
    <x v="166"/>
    <s v="CUST-0027"/>
    <x v="14"/>
    <s v="Sheffield"/>
    <x v="2"/>
    <x v="11"/>
    <x v="4"/>
    <n v="2"/>
    <n v="94.99"/>
    <n v="189.98"/>
    <n v="147.22999999999999"/>
    <n v="42.75"/>
    <x v="1"/>
    <x v="0"/>
  </r>
  <r>
    <s v="ORD-2024-0251"/>
    <x v="166"/>
    <s v="CUST-0081"/>
    <x v="96"/>
    <s v="Southampton"/>
    <x v="3"/>
    <x v="12"/>
    <x v="0"/>
    <n v="1"/>
    <n v="18.989999999999998"/>
    <n v="18.989999999999998"/>
    <n v="10.44"/>
    <n v="8.5500000000000007"/>
    <x v="1"/>
    <x v="2"/>
  </r>
  <r>
    <s v="ORD-2024-0252"/>
    <x v="167"/>
    <s v="CUST-0122"/>
    <x v="98"/>
    <s v="Birmingham"/>
    <x v="5"/>
    <x v="6"/>
    <x v="0"/>
    <n v="6"/>
    <n v="14.99"/>
    <n v="89.94"/>
    <n v="46.77"/>
    <n v="43.17"/>
    <x v="0"/>
    <x v="2"/>
  </r>
  <r>
    <s v="ORD-2024-0253"/>
    <x v="168"/>
    <s v="CUST-0103"/>
    <x v="103"/>
    <s v="Newcastle"/>
    <x v="9"/>
    <x v="13"/>
    <x v="2"/>
    <n v="1"/>
    <n v="27.99"/>
    <n v="27.99"/>
    <n v="14.83"/>
    <n v="13.16"/>
    <x v="1"/>
    <x v="1"/>
  </r>
  <r>
    <s v="ORD-2024-0254"/>
    <x v="169"/>
    <s v="CUST-0162"/>
    <x v="117"/>
    <s v="Newcastle"/>
    <x v="9"/>
    <x v="29"/>
    <x v="4"/>
    <n v="1"/>
    <n v="53.99"/>
    <n v="53.99"/>
    <n v="42.11"/>
    <n v="11.88"/>
    <x v="1"/>
    <x v="1"/>
  </r>
  <r>
    <s v="ORD-2024-0255"/>
    <x v="170"/>
    <s v="CUST-0021"/>
    <x v="58"/>
    <s v="Edinburgh"/>
    <x v="6"/>
    <x v="24"/>
    <x v="4"/>
    <n v="2"/>
    <n v="44.99"/>
    <n v="89.98"/>
    <n v="57.14"/>
    <n v="32.840000000000003"/>
    <x v="4"/>
    <x v="0"/>
  </r>
  <r>
    <s v="ORD-2024-0256"/>
    <x v="170"/>
    <s v="CUST-0073"/>
    <x v="118"/>
    <s v="Leeds"/>
    <x v="2"/>
    <x v="23"/>
    <x v="1"/>
    <n v="2"/>
    <n v="74.989999999999995"/>
    <n v="149.97999999999999"/>
    <n v="104.99"/>
    <n v="44.99"/>
    <x v="4"/>
    <x v="1"/>
  </r>
  <r>
    <s v="ORD-2024-0257"/>
    <x v="171"/>
    <s v="CUST-0098"/>
    <x v="119"/>
    <s v="Cambridge"/>
    <x v="10"/>
    <x v="19"/>
    <x v="4"/>
    <n v="2"/>
    <n v="139.99"/>
    <n v="279.98"/>
    <n v="221.18"/>
    <n v="58.8"/>
    <x v="4"/>
    <x v="1"/>
  </r>
  <r>
    <s v="ORD-2024-0258"/>
    <x v="171"/>
    <s v="CUST-0156"/>
    <x v="109"/>
    <s v="Brighton"/>
    <x v="3"/>
    <x v="28"/>
    <x v="4"/>
    <n v="1"/>
    <n v="54.99"/>
    <n v="54.99"/>
    <n v="36.020000000000003"/>
    <n v="18.97"/>
    <x v="1"/>
    <x v="0"/>
  </r>
  <r>
    <s v="ORD-2024-0259"/>
    <x v="171"/>
    <s v="CUST-0170"/>
    <x v="99"/>
    <s v="London"/>
    <x v="0"/>
    <x v="17"/>
    <x v="0"/>
    <n v="1"/>
    <n v="72.239999999999995"/>
    <n v="72.239999999999995"/>
    <n v="59.94"/>
    <n v="12.3"/>
    <x v="4"/>
    <x v="3"/>
  </r>
  <r>
    <s v="ORD-2024-0260"/>
    <x v="172"/>
    <s v="CUST-0004"/>
    <x v="69"/>
    <s v="Leeds"/>
    <x v="2"/>
    <x v="29"/>
    <x v="4"/>
    <n v="1"/>
    <n v="59.99"/>
    <n v="59.99"/>
    <n v="41.09"/>
    <n v="18.899999999999999"/>
    <x v="1"/>
    <x v="0"/>
  </r>
  <r>
    <s v="ORD-2024-0260"/>
    <x v="172"/>
    <s v="CUST-0004"/>
    <x v="69"/>
    <s v="Leeds"/>
    <x v="2"/>
    <x v="28"/>
    <x v="4"/>
    <n v="2"/>
    <n v="54.99"/>
    <n v="109.98"/>
    <n v="72.040000000000006"/>
    <n v="37.94"/>
    <x v="1"/>
    <x v="0"/>
  </r>
  <r>
    <s v="ORD-2024-0261"/>
    <x v="173"/>
    <s v="CUST-0001"/>
    <x v="21"/>
    <s v="Bristol"/>
    <x v="7"/>
    <x v="18"/>
    <x v="2"/>
    <n v="1"/>
    <n v="44.99"/>
    <n v="44.99"/>
    <n v="26.77"/>
    <n v="18.22"/>
    <x v="4"/>
    <x v="0"/>
  </r>
  <r>
    <s v="ORD-2024-0262"/>
    <x v="174"/>
    <s v="CUST-0164"/>
    <x v="47"/>
    <s v="Brighton"/>
    <x v="3"/>
    <x v="25"/>
    <x v="1"/>
    <n v="2"/>
    <n v="199.99"/>
    <n v="399.98"/>
    <n v="317.98"/>
    <n v="82"/>
    <x v="0"/>
    <x v="0"/>
  </r>
  <r>
    <s v="ORD-2024-0262"/>
    <x v="174"/>
    <s v="CUST-0164"/>
    <x v="47"/>
    <s v="Brighton"/>
    <x v="3"/>
    <x v="14"/>
    <x v="2"/>
    <n v="1"/>
    <n v="18.989999999999998"/>
    <n v="18.989999999999998"/>
    <n v="9.84"/>
    <n v="9.15"/>
    <x v="0"/>
    <x v="0"/>
  </r>
  <r>
    <s v="ORD-2024-0263"/>
    <x v="175"/>
    <s v="CUST-0010"/>
    <x v="4"/>
    <s v="Brighton"/>
    <x v="3"/>
    <x v="18"/>
    <x v="2"/>
    <n v="2"/>
    <n v="42.74"/>
    <n v="85.48"/>
    <n v="53.29"/>
    <n v="32.19"/>
    <x v="0"/>
    <x v="0"/>
  </r>
  <r>
    <s v="ORD-2024-0264"/>
    <x v="175"/>
    <s v="CUST-0040"/>
    <x v="112"/>
    <s v="Brighton"/>
    <x v="3"/>
    <x v="2"/>
    <x v="2"/>
    <n v="1"/>
    <n v="66.489999999999995"/>
    <n v="66.489999999999995"/>
    <n v="46.35"/>
    <n v="20.14"/>
    <x v="0"/>
    <x v="0"/>
  </r>
  <r>
    <s v="ORD-2024-0264"/>
    <x v="175"/>
    <s v="CUST-0040"/>
    <x v="112"/>
    <s v="Brighton"/>
    <x v="3"/>
    <x v="3"/>
    <x v="3"/>
    <n v="1"/>
    <n v="26.99"/>
    <n v="26.99"/>
    <n v="16.18"/>
    <n v="10.81"/>
    <x v="0"/>
    <x v="0"/>
  </r>
  <r>
    <s v="ORD-2024-0265"/>
    <x v="176"/>
    <s v="CUST-0095"/>
    <x v="72"/>
    <s v="Southampton"/>
    <x v="3"/>
    <x v="29"/>
    <x v="4"/>
    <n v="1"/>
    <n v="53.99"/>
    <n v="53.99"/>
    <n v="42.11"/>
    <n v="11.88"/>
    <x v="4"/>
    <x v="1"/>
  </r>
  <r>
    <s v="ORD-2024-0266"/>
    <x v="177"/>
    <s v="CUST-0021"/>
    <x v="58"/>
    <s v="Edinburgh"/>
    <x v="6"/>
    <x v="28"/>
    <x v="4"/>
    <n v="2"/>
    <n v="54.99"/>
    <n v="109.98"/>
    <n v="72.040000000000006"/>
    <n v="37.94"/>
    <x v="1"/>
    <x v="0"/>
  </r>
  <r>
    <s v="ORD-2024-0267"/>
    <x v="178"/>
    <s v="CUST-0017"/>
    <x v="16"/>
    <s v="Glasgow"/>
    <x v="6"/>
    <x v="28"/>
    <x v="4"/>
    <n v="1"/>
    <n v="54.99"/>
    <n v="54.99"/>
    <n v="39.590000000000003"/>
    <n v="15.4"/>
    <x v="4"/>
    <x v="2"/>
  </r>
  <r>
    <s v="ORD-2024-0267"/>
    <x v="178"/>
    <s v="CUST-0017"/>
    <x v="16"/>
    <s v="Glasgow"/>
    <x v="6"/>
    <x v="14"/>
    <x v="2"/>
    <n v="1"/>
    <n v="19.989999999999998"/>
    <n v="19.989999999999998"/>
    <n v="11.19"/>
    <n v="8.8000000000000007"/>
    <x v="4"/>
    <x v="2"/>
  </r>
  <r>
    <s v="ORD-2024-0268"/>
    <x v="179"/>
    <s v="CUST-0060"/>
    <x v="120"/>
    <s v="Liverpool"/>
    <x v="1"/>
    <x v="5"/>
    <x v="1"/>
    <n v="1"/>
    <n v="12.99"/>
    <n v="12.99"/>
    <n v="7.01"/>
    <n v="5.98"/>
    <x v="1"/>
    <x v="2"/>
  </r>
  <r>
    <s v="ORD-2024-0269"/>
    <x v="179"/>
    <s v="CUST-0064"/>
    <x v="48"/>
    <s v="Leeds"/>
    <x v="2"/>
    <x v="5"/>
    <x v="1"/>
    <n v="1"/>
    <n v="12.99"/>
    <n v="12.99"/>
    <n v="7.01"/>
    <n v="5.98"/>
    <x v="4"/>
    <x v="2"/>
  </r>
  <r>
    <s v="ORD-2024-0270"/>
    <x v="180"/>
    <s v="CUST-0018"/>
    <x v="90"/>
    <s v="Leeds"/>
    <x v="2"/>
    <x v="18"/>
    <x v="2"/>
    <n v="3"/>
    <n v="40.49"/>
    <n v="121.47"/>
    <n v="82.6"/>
    <n v="38.869999999999997"/>
    <x v="4"/>
    <x v="1"/>
  </r>
  <r>
    <s v="ORD-2024-0270"/>
    <x v="180"/>
    <s v="CUST-0018"/>
    <x v="90"/>
    <s v="Leeds"/>
    <x v="2"/>
    <x v="23"/>
    <x v="1"/>
    <n v="3"/>
    <n v="74.989999999999995"/>
    <n v="224.97"/>
    <n v="157.47999999999999"/>
    <n v="67.489999999999995"/>
    <x v="4"/>
    <x v="1"/>
  </r>
  <r>
    <s v="ORD-2024-0271"/>
    <x v="181"/>
    <s v="CUST-0119"/>
    <x v="121"/>
    <s v="Leeds"/>
    <x v="2"/>
    <x v="2"/>
    <x v="2"/>
    <n v="2"/>
    <n v="69.989999999999995"/>
    <n v="139.97999999999999"/>
    <n v="93.09"/>
    <n v="46.89"/>
    <x v="0"/>
    <x v="0"/>
  </r>
  <r>
    <s v="ORD-2024-0272"/>
    <x v="182"/>
    <s v="CUST-0032"/>
    <x v="10"/>
    <s v="Birmingham"/>
    <x v="5"/>
    <x v="23"/>
    <x v="1"/>
    <n v="2"/>
    <n v="74.989999999999995"/>
    <n v="149.97999999999999"/>
    <n v="102.74"/>
    <n v="47.24"/>
    <x v="5"/>
    <x v="3"/>
  </r>
  <r>
    <s v="ORD-2024-0272"/>
    <x v="182"/>
    <s v="CUST-0032"/>
    <x v="10"/>
    <s v="Birmingham"/>
    <x v="5"/>
    <x v="5"/>
    <x v="1"/>
    <n v="3"/>
    <n v="12.99"/>
    <n v="38.97"/>
    <n v="18.899999999999999"/>
    <n v="20.07"/>
    <x v="5"/>
    <x v="3"/>
  </r>
  <r>
    <s v="ORD-2024-0272"/>
    <x v="182"/>
    <s v="CUST-0032"/>
    <x v="10"/>
    <s v="Birmingham"/>
    <x v="5"/>
    <x v="17"/>
    <x v="0"/>
    <n v="1"/>
    <n v="84.99"/>
    <n v="84.99"/>
    <n v="60.77"/>
    <n v="24.22"/>
    <x v="5"/>
    <x v="3"/>
  </r>
  <r>
    <s v="ORD-2024-0273"/>
    <x v="183"/>
    <s v="CUST-0012"/>
    <x v="41"/>
    <s v="Manchester"/>
    <x v="1"/>
    <x v="1"/>
    <x v="1"/>
    <n v="2"/>
    <n v="8.99"/>
    <n v="17.98"/>
    <n v="8"/>
    <n v="9.98"/>
    <x v="0"/>
    <x v="0"/>
  </r>
  <r>
    <s v="ORD-2024-0274"/>
    <x v="183"/>
    <s v="CUST-0097"/>
    <x v="122"/>
    <s v="Nottingham"/>
    <x v="5"/>
    <x v="20"/>
    <x v="1"/>
    <n v="1"/>
    <n v="7.59"/>
    <n v="7.59"/>
    <n v="4.33"/>
    <n v="3.26"/>
    <x v="5"/>
    <x v="3"/>
  </r>
  <r>
    <s v="ORD-2024-0274"/>
    <x v="183"/>
    <s v="CUST-0097"/>
    <x v="122"/>
    <s v="Nottingham"/>
    <x v="5"/>
    <x v="17"/>
    <x v="0"/>
    <n v="4"/>
    <n v="76.489999999999995"/>
    <n v="305.95999999999998"/>
    <n v="240.86"/>
    <n v="65.099999999999994"/>
    <x v="5"/>
    <x v="3"/>
  </r>
  <r>
    <s v="ORD-2024-0275"/>
    <x v="184"/>
    <s v="CUST-0018"/>
    <x v="90"/>
    <s v="Leeds"/>
    <x v="2"/>
    <x v="11"/>
    <x v="4"/>
    <n v="1"/>
    <n v="94.99"/>
    <n v="94.99"/>
    <n v="73.62"/>
    <n v="21.37"/>
    <x v="3"/>
    <x v="0"/>
  </r>
  <r>
    <s v="ORD-2024-0276"/>
    <x v="185"/>
    <s v="CUST-0027"/>
    <x v="14"/>
    <s v="Sheffield"/>
    <x v="2"/>
    <x v="24"/>
    <x v="4"/>
    <n v="1"/>
    <n v="38.24"/>
    <n v="38.24"/>
    <n v="29.15"/>
    <n v="9.09"/>
    <x v="1"/>
    <x v="1"/>
  </r>
  <r>
    <s v="ORD-2024-0276"/>
    <x v="185"/>
    <s v="CUST-0027"/>
    <x v="14"/>
    <s v="Sheffield"/>
    <x v="2"/>
    <x v="1"/>
    <x v="1"/>
    <n v="1"/>
    <n v="8.99"/>
    <n v="8.99"/>
    <n v="4.2300000000000004"/>
    <n v="4.76"/>
    <x v="1"/>
    <x v="1"/>
  </r>
  <r>
    <s v="ORD-2024-0277"/>
    <x v="185"/>
    <s v="CUST-0118"/>
    <x v="26"/>
    <s v="Manchester"/>
    <x v="1"/>
    <x v="23"/>
    <x v="1"/>
    <n v="2"/>
    <n v="67.489999999999995"/>
    <n v="134.97999999999999"/>
    <n v="109.19"/>
    <n v="25.79"/>
    <x v="4"/>
    <x v="2"/>
  </r>
  <r>
    <s v="ORD-2024-0277"/>
    <x v="185"/>
    <s v="CUST-0118"/>
    <x v="26"/>
    <s v="Manchester"/>
    <x v="1"/>
    <x v="20"/>
    <x v="1"/>
    <n v="1"/>
    <n v="6.79"/>
    <n v="6.79"/>
    <n v="4.6500000000000004"/>
    <n v="2.14"/>
    <x v="4"/>
    <x v="2"/>
  </r>
  <r>
    <s v="ORD-2024-0278"/>
    <x v="185"/>
    <s v="CUST-0132"/>
    <x v="123"/>
    <s v="Bristol"/>
    <x v="7"/>
    <x v="7"/>
    <x v="4"/>
    <n v="3"/>
    <n v="24.99"/>
    <n v="74.97"/>
    <n v="45.36"/>
    <n v="29.61"/>
    <x v="0"/>
    <x v="0"/>
  </r>
  <r>
    <s v="ORD-2024-0279"/>
    <x v="186"/>
    <s v="CUST-0108"/>
    <x v="32"/>
    <s v="Norwich"/>
    <x v="10"/>
    <x v="5"/>
    <x v="1"/>
    <n v="1"/>
    <n v="10.39"/>
    <n v="10.39"/>
    <n v="6.7"/>
    <n v="3.69"/>
    <x v="1"/>
    <x v="2"/>
  </r>
  <r>
    <s v="ORD-2024-0280"/>
    <x v="187"/>
    <s v="CUST-0009"/>
    <x v="34"/>
    <s v="Brighton"/>
    <x v="3"/>
    <x v="9"/>
    <x v="3"/>
    <n v="1"/>
    <n v="34.99"/>
    <n v="34.99"/>
    <n v="22.74"/>
    <n v="12.25"/>
    <x v="1"/>
    <x v="1"/>
  </r>
  <r>
    <s v="ORD-2024-0281"/>
    <x v="187"/>
    <s v="CUST-0065"/>
    <x v="75"/>
    <s v="Brighton"/>
    <x v="3"/>
    <x v="13"/>
    <x v="2"/>
    <n v="2"/>
    <n v="22.39"/>
    <n v="44.78"/>
    <n v="28.77"/>
    <n v="16.010000000000002"/>
    <x v="1"/>
    <x v="1"/>
  </r>
  <r>
    <s v="ORD-2024-0282"/>
    <x v="188"/>
    <s v="CUST-0093"/>
    <x v="54"/>
    <s v="Nottingham"/>
    <x v="5"/>
    <x v="28"/>
    <x v="4"/>
    <n v="2"/>
    <n v="54.99"/>
    <n v="109.98"/>
    <n v="74.790000000000006"/>
    <n v="35.19"/>
    <x v="4"/>
    <x v="1"/>
  </r>
  <r>
    <s v="ORD-2024-0283"/>
    <x v="188"/>
    <s v="CUST-0157"/>
    <x v="106"/>
    <s v="London"/>
    <x v="0"/>
    <x v="4"/>
    <x v="3"/>
    <n v="1"/>
    <n v="79.989999999999995"/>
    <n v="79.989999999999995"/>
    <n v="55.59"/>
    <n v="24.4"/>
    <x v="1"/>
    <x v="0"/>
  </r>
  <r>
    <s v="ORD-2024-0283"/>
    <x v="188"/>
    <s v="CUST-0157"/>
    <x v="106"/>
    <s v="London"/>
    <x v="0"/>
    <x v="16"/>
    <x v="3"/>
    <n v="2"/>
    <n v="169.99"/>
    <n v="339.98"/>
    <n v="273.68"/>
    <n v="66.3"/>
    <x v="1"/>
    <x v="0"/>
  </r>
  <r>
    <s v="ORD-2024-0284"/>
    <x v="189"/>
    <s v="CUST-0128"/>
    <x v="124"/>
    <s v="London"/>
    <x v="0"/>
    <x v="28"/>
    <x v="4"/>
    <n v="1"/>
    <n v="54.99"/>
    <n v="54.99"/>
    <n v="36.020000000000003"/>
    <n v="18.97"/>
    <x v="1"/>
    <x v="0"/>
  </r>
  <r>
    <s v="ORD-2024-0285"/>
    <x v="190"/>
    <s v="CUST-0009"/>
    <x v="34"/>
    <s v="Brighton"/>
    <x v="3"/>
    <x v="24"/>
    <x v="4"/>
    <n v="1"/>
    <n v="44.99"/>
    <n v="44.99"/>
    <n v="28.57"/>
    <n v="16.420000000000002"/>
    <x v="4"/>
    <x v="0"/>
  </r>
  <r>
    <s v="ORD-2024-0286"/>
    <x v="190"/>
    <s v="CUST-0114"/>
    <x v="83"/>
    <s v="Bristol"/>
    <x v="7"/>
    <x v="8"/>
    <x v="3"/>
    <n v="3"/>
    <n v="89.99"/>
    <n v="269.97000000000003"/>
    <n v="193.03"/>
    <n v="76.94"/>
    <x v="3"/>
    <x v="0"/>
  </r>
  <r>
    <s v="ORD-2024-0287"/>
    <x v="190"/>
    <s v="CUST-0127"/>
    <x v="56"/>
    <s v="Birmingham"/>
    <x v="5"/>
    <x v="18"/>
    <x v="2"/>
    <n v="3"/>
    <n v="44.99"/>
    <n v="134.97"/>
    <n v="80.31"/>
    <n v="54.66"/>
    <x v="1"/>
    <x v="0"/>
  </r>
  <r>
    <s v="ORD-2024-0288"/>
    <x v="190"/>
    <s v="CUST-0139"/>
    <x v="125"/>
    <s v="London"/>
    <x v="0"/>
    <x v="21"/>
    <x v="1"/>
    <n v="3"/>
    <n v="113.99"/>
    <n v="341.97"/>
    <n v="270.61"/>
    <n v="71.36"/>
    <x v="5"/>
    <x v="3"/>
  </r>
  <r>
    <s v="ORD-2024-0289"/>
    <x v="191"/>
    <s v="CUST-0170"/>
    <x v="99"/>
    <s v="London"/>
    <x v="0"/>
    <x v="14"/>
    <x v="2"/>
    <n v="1"/>
    <n v="17.989999999999998"/>
    <n v="17.989999999999998"/>
    <n v="9.7899999999999991"/>
    <n v="8.1999999999999993"/>
    <x v="4"/>
    <x v="0"/>
  </r>
  <r>
    <s v="ORD-2024-0290"/>
    <x v="192"/>
    <s v="CUST-0055"/>
    <x v="126"/>
    <s v="Cardiff"/>
    <x v="8"/>
    <x v="26"/>
    <x v="3"/>
    <n v="1"/>
    <n v="109.99"/>
    <n v="109.99"/>
    <n v="83.59"/>
    <n v="26.4"/>
    <x v="4"/>
    <x v="1"/>
  </r>
  <r>
    <s v="ORD-2024-0290"/>
    <x v="192"/>
    <s v="CUST-0055"/>
    <x v="126"/>
    <s v="Cardiff"/>
    <x v="8"/>
    <x v="20"/>
    <x v="1"/>
    <n v="1"/>
    <n v="7.99"/>
    <n v="7.99"/>
    <n v="4.47"/>
    <n v="3.52"/>
    <x v="4"/>
    <x v="1"/>
  </r>
  <r>
    <s v="ORD-2024-0291"/>
    <x v="193"/>
    <s v="CUST-0002"/>
    <x v="3"/>
    <s v="Sheffield"/>
    <x v="2"/>
    <x v="23"/>
    <x v="1"/>
    <n v="2"/>
    <n v="74.989999999999995"/>
    <n v="149.97999999999999"/>
    <n v="101.24"/>
    <n v="48.74"/>
    <x v="0"/>
    <x v="0"/>
  </r>
  <r>
    <s v="ORD-2024-0291"/>
    <x v="193"/>
    <s v="CUST-0002"/>
    <x v="3"/>
    <s v="Sheffield"/>
    <x v="2"/>
    <x v="11"/>
    <x v="4"/>
    <n v="3"/>
    <n v="94.99"/>
    <n v="284.97000000000003"/>
    <n v="220.85"/>
    <n v="64.12"/>
    <x v="0"/>
    <x v="0"/>
  </r>
  <r>
    <s v="ORD-2024-0292"/>
    <x v="193"/>
    <s v="CUST-0045"/>
    <x v="127"/>
    <s v="Nottingham"/>
    <x v="5"/>
    <x v="28"/>
    <x v="4"/>
    <n v="2"/>
    <n v="54.99"/>
    <n v="109.98"/>
    <n v="73.14"/>
    <n v="36.840000000000003"/>
    <x v="5"/>
    <x v="3"/>
  </r>
  <r>
    <s v="ORD-2024-0293"/>
    <x v="194"/>
    <s v="CUST-0171"/>
    <x v="128"/>
    <s v="Southampton"/>
    <x v="3"/>
    <x v="24"/>
    <x v="4"/>
    <n v="2"/>
    <n v="44.99"/>
    <n v="89.98"/>
    <n v="57.14"/>
    <n v="32.840000000000003"/>
    <x v="4"/>
    <x v="0"/>
  </r>
  <r>
    <s v="ORD-2024-0294"/>
    <x v="195"/>
    <s v="CUST-0151"/>
    <x v="92"/>
    <s v="Cardiff"/>
    <x v="8"/>
    <x v="2"/>
    <x v="2"/>
    <n v="2"/>
    <n v="66.489999999999995"/>
    <n v="132.97999999999999"/>
    <n v="92.7"/>
    <n v="40.28"/>
    <x v="1"/>
    <x v="0"/>
  </r>
  <r>
    <s v="ORD-2024-0295"/>
    <x v="196"/>
    <s v="CUST-0029"/>
    <x v="17"/>
    <s v="Bristol"/>
    <x v="7"/>
    <x v="23"/>
    <x v="1"/>
    <n v="1"/>
    <n v="74.989999999999995"/>
    <n v="74.989999999999995"/>
    <n v="50.62"/>
    <n v="24.37"/>
    <x v="0"/>
    <x v="0"/>
  </r>
  <r>
    <s v="ORD-2024-0296"/>
    <x v="197"/>
    <s v="CUST-0009"/>
    <x v="34"/>
    <s v="Brighton"/>
    <x v="3"/>
    <x v="13"/>
    <x v="2"/>
    <n v="2"/>
    <n v="27.99"/>
    <n v="55.98"/>
    <n v="28.27"/>
    <n v="27.71"/>
    <x v="0"/>
    <x v="0"/>
  </r>
  <r>
    <s v="ORD-2024-0297"/>
    <x v="197"/>
    <s v="CUST-0059"/>
    <x v="129"/>
    <s v="Belfast"/>
    <x v="4"/>
    <x v="21"/>
    <x v="1"/>
    <n v="3"/>
    <n v="113.99"/>
    <n v="341.97"/>
    <n v="289.42"/>
    <n v="52.55"/>
    <x v="1"/>
    <x v="2"/>
  </r>
  <r>
    <s v="ORD-2024-0298"/>
    <x v="197"/>
    <s v="CUST-0099"/>
    <x v="101"/>
    <s v="Birmingham"/>
    <x v="5"/>
    <x v="20"/>
    <x v="1"/>
    <n v="2"/>
    <n v="7.99"/>
    <n v="15.98"/>
    <n v="9.59"/>
    <n v="6.39"/>
    <x v="0"/>
    <x v="2"/>
  </r>
  <r>
    <s v="ORD-2024-0299"/>
    <x v="198"/>
    <s v="CUST-0001"/>
    <x v="21"/>
    <s v="Bristol"/>
    <x v="7"/>
    <x v="5"/>
    <x v="1"/>
    <n v="1"/>
    <n v="12.99"/>
    <n v="12.99"/>
    <n v="6.5"/>
    <n v="6.49"/>
    <x v="1"/>
    <x v="1"/>
  </r>
  <r>
    <s v="ORD-2024-0300"/>
    <x v="198"/>
    <s v="CUST-0174"/>
    <x v="93"/>
    <s v="Manchester"/>
    <x v="1"/>
    <x v="24"/>
    <x v="4"/>
    <n v="2"/>
    <n v="44.99"/>
    <n v="89.98"/>
    <n v="59.39"/>
    <n v="30.59"/>
    <x v="6"/>
    <x v="1"/>
  </r>
  <r>
    <s v="ORD-2024-0301"/>
    <x v="199"/>
    <s v="CUST-0151"/>
    <x v="92"/>
    <s v="Cardiff"/>
    <x v="8"/>
    <x v="7"/>
    <x v="4"/>
    <n v="1"/>
    <n v="24.99"/>
    <n v="24.99"/>
    <n v="15.74"/>
    <n v="9.25"/>
    <x v="4"/>
    <x v="1"/>
  </r>
  <r>
    <s v="ORD-2024-0302"/>
    <x v="200"/>
    <s v="CUST-0001"/>
    <x v="21"/>
    <s v="Bristol"/>
    <x v="7"/>
    <x v="5"/>
    <x v="1"/>
    <n v="2"/>
    <n v="12.99"/>
    <n v="25.98"/>
    <n v="14.03"/>
    <n v="11.95"/>
    <x v="4"/>
    <x v="2"/>
  </r>
  <r>
    <s v="ORD-2024-0303"/>
    <x v="201"/>
    <s v="CUST-0055"/>
    <x v="126"/>
    <s v="Cardiff"/>
    <x v="8"/>
    <x v="14"/>
    <x v="2"/>
    <n v="1"/>
    <n v="17.989999999999998"/>
    <n v="17.989999999999998"/>
    <n v="10.23"/>
    <n v="7.76"/>
    <x v="1"/>
    <x v="1"/>
  </r>
  <r>
    <s v="ORD-2024-0304"/>
    <x v="202"/>
    <s v="CUST-0099"/>
    <x v="101"/>
    <s v="Birmingham"/>
    <x v="5"/>
    <x v="23"/>
    <x v="1"/>
    <n v="1"/>
    <n v="67.489999999999995"/>
    <n v="67.489999999999995"/>
    <n v="50.21"/>
    <n v="17.28"/>
    <x v="4"/>
    <x v="0"/>
  </r>
  <r>
    <s v="ORD-2024-0304"/>
    <x v="202"/>
    <s v="CUST-0099"/>
    <x v="101"/>
    <s v="Birmingham"/>
    <x v="5"/>
    <x v="27"/>
    <x v="0"/>
    <n v="1"/>
    <n v="24.99"/>
    <n v="24.99"/>
    <n v="12.87"/>
    <n v="12.12"/>
    <x v="4"/>
    <x v="0"/>
  </r>
  <r>
    <s v="ORD-2024-0305"/>
    <x v="203"/>
    <s v="CUST-0017"/>
    <x v="16"/>
    <s v="Glasgow"/>
    <x v="6"/>
    <x v="29"/>
    <x v="4"/>
    <n v="3"/>
    <n v="56.99"/>
    <n v="170.97"/>
    <n v="124.49"/>
    <n v="46.48"/>
    <x v="4"/>
    <x v="3"/>
  </r>
  <r>
    <s v="ORD-2024-0306"/>
    <x v="203"/>
    <s v="CUST-0079"/>
    <x v="130"/>
    <s v="Nottingham"/>
    <x v="5"/>
    <x v="18"/>
    <x v="2"/>
    <n v="1"/>
    <n v="42.74"/>
    <n v="42.74"/>
    <n v="26.65"/>
    <n v="16.09"/>
    <x v="0"/>
    <x v="0"/>
  </r>
  <r>
    <s v="ORD-2024-0307"/>
    <x v="204"/>
    <s v="CUST-0017"/>
    <x v="16"/>
    <s v="Glasgow"/>
    <x v="6"/>
    <x v="6"/>
    <x v="0"/>
    <n v="2"/>
    <n v="14.99"/>
    <n v="29.98"/>
    <n v="13.64"/>
    <n v="16.34"/>
    <x v="0"/>
    <x v="0"/>
  </r>
  <r>
    <s v="ORD-2024-0308"/>
    <x v="204"/>
    <s v="CUST-0029"/>
    <x v="17"/>
    <s v="Bristol"/>
    <x v="7"/>
    <x v="12"/>
    <x v="0"/>
    <n v="1"/>
    <n v="18.989999999999998"/>
    <n v="18.989999999999998"/>
    <n v="9.2100000000000009"/>
    <n v="9.7799999999999994"/>
    <x v="0"/>
    <x v="0"/>
  </r>
  <r>
    <s v="ORD-2024-0308"/>
    <x v="204"/>
    <s v="CUST-0029"/>
    <x v="17"/>
    <s v="Bristol"/>
    <x v="7"/>
    <x v="15"/>
    <x v="4"/>
    <n v="2"/>
    <n v="33.99"/>
    <n v="67.98"/>
    <n v="45.33"/>
    <n v="22.65"/>
    <x v="0"/>
    <x v="0"/>
  </r>
  <r>
    <s v="ORD-2024-0309"/>
    <x v="205"/>
    <s v="CUST-0113"/>
    <x v="67"/>
    <s v="Cambridge"/>
    <x v="10"/>
    <x v="3"/>
    <x v="3"/>
    <n v="1"/>
    <n v="26.99"/>
    <n v="26.99"/>
    <n v="16.18"/>
    <n v="10.81"/>
    <x v="0"/>
    <x v="0"/>
  </r>
  <r>
    <s v="ORD-2024-0310"/>
    <x v="206"/>
    <s v="CUST-0017"/>
    <x v="16"/>
    <s v="Glasgow"/>
    <x v="6"/>
    <x v="19"/>
    <x v="4"/>
    <n v="1"/>
    <n v="132.99"/>
    <n v="132.99"/>
    <n v="110.03"/>
    <n v="22.96"/>
    <x v="1"/>
    <x v="1"/>
  </r>
  <r>
    <s v="ORD-2024-0311"/>
    <x v="207"/>
    <s v="CUST-0090"/>
    <x v="131"/>
    <s v="Cardiff"/>
    <x v="8"/>
    <x v="10"/>
    <x v="4"/>
    <n v="1"/>
    <n v="69.989999999999995"/>
    <n v="69.989999999999995"/>
    <n v="51.09"/>
    <n v="18.899999999999999"/>
    <x v="1"/>
    <x v="2"/>
  </r>
  <r>
    <s v="ORD-2024-0312"/>
    <x v="208"/>
    <s v="CUST-0032"/>
    <x v="10"/>
    <s v="Birmingham"/>
    <x v="5"/>
    <x v="9"/>
    <x v="3"/>
    <n v="4"/>
    <n v="31.49"/>
    <n v="125.96"/>
    <n v="86.71"/>
    <n v="39.25"/>
    <x v="0"/>
    <x v="0"/>
  </r>
  <r>
    <s v="ORD-2024-0313"/>
    <x v="208"/>
    <s v="CUST-0108"/>
    <x v="32"/>
    <s v="Norwich"/>
    <x v="10"/>
    <x v="14"/>
    <x v="2"/>
    <n v="1"/>
    <n v="18.989999999999998"/>
    <n v="18.989999999999998"/>
    <n v="11.07"/>
    <n v="7.92"/>
    <x v="4"/>
    <x v="2"/>
  </r>
  <r>
    <s v="ORD-2024-0313"/>
    <x v="208"/>
    <s v="CUST-0108"/>
    <x v="32"/>
    <s v="Norwich"/>
    <x v="10"/>
    <x v="3"/>
    <x v="3"/>
    <n v="1"/>
    <n v="28.49"/>
    <n v="28.49"/>
    <n v="18.11"/>
    <n v="10.38"/>
    <x v="4"/>
    <x v="2"/>
  </r>
  <r>
    <s v="ORD-2024-0314"/>
    <x v="209"/>
    <s v="CUST-0037"/>
    <x v="44"/>
    <s v="London"/>
    <x v="0"/>
    <x v="21"/>
    <x v="1"/>
    <n v="1"/>
    <n v="119.99"/>
    <n v="119.99"/>
    <n v="97.19"/>
    <n v="22.8"/>
    <x v="4"/>
    <x v="2"/>
  </r>
  <r>
    <s v="ORD-2024-0314"/>
    <x v="209"/>
    <s v="CUST-0037"/>
    <x v="44"/>
    <s v="London"/>
    <x v="0"/>
    <x v="12"/>
    <x v="0"/>
    <n v="2"/>
    <n v="17.09"/>
    <n v="34.18"/>
    <n v="20.43"/>
    <n v="13.75"/>
    <x v="4"/>
    <x v="2"/>
  </r>
  <r>
    <s v="ORD-2024-0315"/>
    <x v="210"/>
    <s v="CUST-0160"/>
    <x v="37"/>
    <s v="Leeds"/>
    <x v="2"/>
    <x v="12"/>
    <x v="0"/>
    <n v="2"/>
    <n v="18.989999999999998"/>
    <n v="37.979999999999997"/>
    <n v="19.37"/>
    <n v="18.61"/>
    <x v="6"/>
    <x v="1"/>
  </r>
  <r>
    <s v="ORD-2024-0315"/>
    <x v="210"/>
    <s v="CUST-0160"/>
    <x v="37"/>
    <s v="Leeds"/>
    <x v="2"/>
    <x v="0"/>
    <x v="0"/>
    <n v="1"/>
    <n v="26.99"/>
    <n v="26.99"/>
    <n v="15.11"/>
    <n v="11.88"/>
    <x v="6"/>
    <x v="1"/>
  </r>
  <r>
    <s v="ORD-2024-0316"/>
    <x v="211"/>
    <s v="CUST-0056"/>
    <x v="132"/>
    <s v="Leeds"/>
    <x v="2"/>
    <x v="5"/>
    <x v="1"/>
    <n v="1"/>
    <n v="12.99"/>
    <n v="12.99"/>
    <n v="6.17"/>
    <n v="6.82"/>
    <x v="1"/>
    <x v="0"/>
  </r>
  <r>
    <s v="ORD-2024-0316"/>
    <x v="211"/>
    <s v="CUST-0056"/>
    <x v="132"/>
    <s v="Leeds"/>
    <x v="2"/>
    <x v="20"/>
    <x v="1"/>
    <n v="1"/>
    <n v="6.39"/>
    <n v="6.39"/>
    <n v="4.1900000000000004"/>
    <n v="2.2000000000000002"/>
    <x v="1"/>
    <x v="0"/>
  </r>
  <r>
    <s v="ORD-2024-0317"/>
    <x v="211"/>
    <s v="CUST-0100"/>
    <x v="64"/>
    <s v="Norwich"/>
    <x v="10"/>
    <x v="12"/>
    <x v="0"/>
    <n v="1"/>
    <n v="18.989999999999998"/>
    <n v="18.989999999999998"/>
    <n v="9.68"/>
    <n v="9.31"/>
    <x v="1"/>
    <x v="1"/>
  </r>
  <r>
    <s v="ORD-2024-0318"/>
    <x v="212"/>
    <s v="CUST-0089"/>
    <x v="133"/>
    <s v="Edinburgh"/>
    <x v="6"/>
    <x v="23"/>
    <x v="1"/>
    <n v="2"/>
    <n v="74.989999999999995"/>
    <n v="149.97999999999999"/>
    <n v="110.99"/>
    <n v="38.99"/>
    <x v="1"/>
    <x v="2"/>
  </r>
  <r>
    <s v="ORD-2024-0319"/>
    <x v="212"/>
    <s v="CUST-0106"/>
    <x v="134"/>
    <s v="Birmingham"/>
    <x v="5"/>
    <x v="13"/>
    <x v="2"/>
    <n v="1"/>
    <n v="27.99"/>
    <n v="27.99"/>
    <n v="14.13"/>
    <n v="13.86"/>
    <x v="0"/>
    <x v="0"/>
  </r>
  <r>
    <s v="ORD-2024-0320"/>
    <x v="213"/>
    <s v="CUST-0029"/>
    <x v="17"/>
    <s v="Bristol"/>
    <x v="7"/>
    <x v="2"/>
    <x v="2"/>
    <n v="3"/>
    <n v="59.49"/>
    <n v="178.47"/>
    <n v="142.36000000000001"/>
    <n v="36.11"/>
    <x v="1"/>
    <x v="1"/>
  </r>
  <r>
    <s v="ORD-2024-0321"/>
    <x v="214"/>
    <s v="CUST-0041"/>
    <x v="78"/>
    <s v="Liverpool"/>
    <x v="1"/>
    <x v="23"/>
    <x v="1"/>
    <n v="1"/>
    <n v="74.989999999999995"/>
    <n v="74.989999999999995"/>
    <n v="55.49"/>
    <n v="19.5"/>
    <x v="4"/>
    <x v="2"/>
  </r>
  <r>
    <s v="ORD-2024-0322"/>
    <x v="215"/>
    <s v="CUST-0118"/>
    <x v="26"/>
    <s v="Manchester"/>
    <x v="1"/>
    <x v="13"/>
    <x v="2"/>
    <n v="1"/>
    <n v="22.39"/>
    <n v="22.39"/>
    <n v="13.83"/>
    <n v="8.56"/>
    <x v="0"/>
    <x v="0"/>
  </r>
  <r>
    <s v="ORD-2024-0323"/>
    <x v="216"/>
    <s v="CUST-0043"/>
    <x v="63"/>
    <s v="Birmingham"/>
    <x v="5"/>
    <x v="6"/>
    <x v="0"/>
    <n v="1"/>
    <n v="14.99"/>
    <n v="14.99"/>
    <n v="6.82"/>
    <n v="8.17"/>
    <x v="1"/>
    <x v="0"/>
  </r>
  <r>
    <s v="ORD-2024-0324"/>
    <x v="217"/>
    <s v="CUST-0072"/>
    <x v="135"/>
    <s v="Birmingham"/>
    <x v="5"/>
    <x v="14"/>
    <x v="2"/>
    <n v="3"/>
    <n v="17.989999999999998"/>
    <n v="53.97"/>
    <n v="29.36"/>
    <n v="24.61"/>
    <x v="1"/>
    <x v="0"/>
  </r>
  <r>
    <s v="ORD-2024-0325"/>
    <x v="218"/>
    <s v="CUST-0091"/>
    <x v="136"/>
    <s v="Leeds"/>
    <x v="2"/>
    <x v="12"/>
    <x v="0"/>
    <n v="1"/>
    <n v="18.989999999999998"/>
    <n v="18.989999999999998"/>
    <n v="9.2100000000000009"/>
    <n v="9.7799999999999994"/>
    <x v="3"/>
    <x v="0"/>
  </r>
  <r>
    <s v="ORD-2024-0326"/>
    <x v="219"/>
    <s v="CUST-0032"/>
    <x v="10"/>
    <s v="Birmingham"/>
    <x v="5"/>
    <x v="25"/>
    <x v="1"/>
    <n v="1"/>
    <n v="159.99"/>
    <n v="159.99"/>
    <n v="167.19"/>
    <n v="-7.2"/>
    <x v="0"/>
    <x v="2"/>
  </r>
  <r>
    <s v="ORD-2024-0327"/>
    <x v="219"/>
    <s v="CUST-0082"/>
    <x v="115"/>
    <s v="Leeds"/>
    <x v="2"/>
    <x v="28"/>
    <x v="4"/>
    <n v="1"/>
    <n v="49.49"/>
    <n v="49.49"/>
    <n v="38.93"/>
    <n v="10.56"/>
    <x v="1"/>
    <x v="2"/>
  </r>
  <r>
    <s v="ORD-2024-0328"/>
    <x v="219"/>
    <s v="CUST-0128"/>
    <x v="124"/>
    <s v="London"/>
    <x v="0"/>
    <x v="15"/>
    <x v="4"/>
    <n v="1"/>
    <n v="39.99"/>
    <n v="39.99"/>
    <n v="23.39"/>
    <n v="16.600000000000001"/>
    <x v="4"/>
    <x v="3"/>
  </r>
  <r>
    <s v="ORD-2024-0328"/>
    <x v="219"/>
    <s v="CUST-0128"/>
    <x v="124"/>
    <s v="London"/>
    <x v="0"/>
    <x v="7"/>
    <x v="4"/>
    <n v="1"/>
    <n v="23.74"/>
    <n v="23.74"/>
    <n v="15.29"/>
    <n v="8.4499999999999993"/>
    <x v="4"/>
    <x v="3"/>
  </r>
  <r>
    <s v="ORD-2024-0329"/>
    <x v="220"/>
    <s v="CUST-0145"/>
    <x v="73"/>
    <s v="Exeter"/>
    <x v="7"/>
    <x v="14"/>
    <x v="2"/>
    <n v="1"/>
    <n v="19.989999999999998"/>
    <n v="19.989999999999998"/>
    <n v="11.19"/>
    <n v="8.8000000000000007"/>
    <x v="1"/>
    <x v="2"/>
  </r>
  <r>
    <s v="ORD-2024-0330"/>
    <x v="220"/>
    <s v="CUST-0171"/>
    <x v="128"/>
    <s v="Southampton"/>
    <x v="3"/>
    <x v="24"/>
    <x v="4"/>
    <n v="1"/>
    <n v="40.49"/>
    <n v="40.49"/>
    <n v="28.73"/>
    <n v="11.76"/>
    <x v="4"/>
    <x v="3"/>
  </r>
  <r>
    <s v="ORD-2024-0331"/>
    <x v="221"/>
    <s v="CUST-0006"/>
    <x v="71"/>
    <s v="Nottingham"/>
    <x v="5"/>
    <x v="1"/>
    <x v="1"/>
    <n v="6"/>
    <n v="7.19"/>
    <n v="43.14"/>
    <n v="26.21"/>
    <n v="16.93"/>
    <x v="4"/>
    <x v="2"/>
  </r>
  <r>
    <s v="ORD-2024-0331"/>
    <x v="221"/>
    <s v="CUST-0006"/>
    <x v="71"/>
    <s v="Nottingham"/>
    <x v="5"/>
    <x v="3"/>
    <x v="3"/>
    <n v="1"/>
    <n v="28.49"/>
    <n v="28.49"/>
    <n v="18.11"/>
    <n v="10.38"/>
    <x v="4"/>
    <x v="2"/>
  </r>
  <r>
    <s v="ORD-2024-0332"/>
    <x v="221"/>
    <s v="CUST-0017"/>
    <x v="16"/>
    <s v="Glasgow"/>
    <x v="6"/>
    <x v="19"/>
    <x v="4"/>
    <n v="1"/>
    <n v="132.99"/>
    <n v="132.99"/>
    <n v="106.71"/>
    <n v="26.28"/>
    <x v="1"/>
    <x v="0"/>
  </r>
  <r>
    <s v="ORD-2024-0333"/>
    <x v="222"/>
    <s v="CUST-0079"/>
    <x v="130"/>
    <s v="Nottingham"/>
    <x v="5"/>
    <x v="5"/>
    <x v="1"/>
    <n v="1"/>
    <n v="12.34"/>
    <n v="12.34"/>
    <n v="6.13"/>
    <n v="6.21"/>
    <x v="1"/>
    <x v="0"/>
  </r>
  <r>
    <s v="ORD-2024-0333"/>
    <x v="222"/>
    <s v="CUST-0079"/>
    <x v="130"/>
    <s v="Nottingham"/>
    <x v="5"/>
    <x v="21"/>
    <x v="1"/>
    <n v="1"/>
    <n v="107.99"/>
    <n v="107.99"/>
    <n v="88.73"/>
    <n v="19.260000000000002"/>
    <x v="1"/>
    <x v="0"/>
  </r>
  <r>
    <s v="ORD-2024-0334"/>
    <x v="223"/>
    <s v="CUST-0095"/>
    <x v="72"/>
    <s v="Southampton"/>
    <x v="3"/>
    <x v="13"/>
    <x v="2"/>
    <n v="1"/>
    <n v="25.19"/>
    <n v="25.19"/>
    <n v="13.98"/>
    <n v="11.21"/>
    <x v="0"/>
    <x v="0"/>
  </r>
  <r>
    <s v="ORD-2025-0335"/>
    <x v="224"/>
    <s v="CUST-0025"/>
    <x v="81"/>
    <s v="Norwich"/>
    <x v="10"/>
    <x v="29"/>
    <x v="4"/>
    <n v="2"/>
    <n v="61.19"/>
    <n v="122.38"/>
    <n v="86.51"/>
    <n v="35.869999999999997"/>
    <x v="3"/>
    <x v="1"/>
  </r>
  <r>
    <s v="ORD-2025-0336"/>
    <x v="224"/>
    <s v="CUST-0075"/>
    <x v="65"/>
    <s v="Manchester"/>
    <x v="1"/>
    <x v="0"/>
    <x v="0"/>
    <n v="1"/>
    <n v="27.53"/>
    <n v="27.53"/>
    <n v="14.66"/>
    <n v="12.87"/>
    <x v="4"/>
    <x v="0"/>
  </r>
  <r>
    <s v="ORD-2025-0336"/>
    <x v="224"/>
    <s v="CUST-0075"/>
    <x v="65"/>
    <s v="Manchester"/>
    <x v="1"/>
    <x v="21"/>
    <x v="1"/>
    <n v="1"/>
    <n v="122.39"/>
    <n v="122.39"/>
    <n v="90.77"/>
    <n v="31.62"/>
    <x v="4"/>
    <x v="0"/>
  </r>
  <r>
    <s v="ORD-2025-0337"/>
    <x v="224"/>
    <s v="CUST-0130"/>
    <x v="18"/>
    <s v="Cardiff"/>
    <x v="8"/>
    <x v="5"/>
    <x v="1"/>
    <n v="1"/>
    <n v="13.25"/>
    <n v="13.25"/>
    <n v="6.27"/>
    <n v="6.98"/>
    <x v="4"/>
    <x v="0"/>
  </r>
  <r>
    <s v="ORD-2025-0338"/>
    <x v="224"/>
    <s v="CUST-0162"/>
    <x v="117"/>
    <s v="Newcastle"/>
    <x v="9"/>
    <x v="27"/>
    <x v="0"/>
    <n v="2"/>
    <n v="21.67"/>
    <n v="43.34"/>
    <n v="25.72"/>
    <n v="17.62"/>
    <x v="1"/>
    <x v="0"/>
  </r>
  <r>
    <s v="ORD-2025-0338"/>
    <x v="224"/>
    <s v="CUST-0162"/>
    <x v="117"/>
    <s v="Newcastle"/>
    <x v="9"/>
    <x v="20"/>
    <x v="1"/>
    <n v="2"/>
    <n v="8.15"/>
    <n v="16.3"/>
    <n v="8.68"/>
    <n v="7.62"/>
    <x v="1"/>
    <x v="0"/>
  </r>
  <r>
    <s v="ORD-2025-0339"/>
    <x v="225"/>
    <s v="CUST-0003"/>
    <x v="45"/>
    <s v="Glasgow"/>
    <x v="6"/>
    <x v="0"/>
    <x v="0"/>
    <n v="1"/>
    <n v="27.53"/>
    <n v="27.53"/>
    <n v="16.45"/>
    <n v="11.08"/>
    <x v="1"/>
    <x v="2"/>
  </r>
  <r>
    <s v="ORD-2025-0340"/>
    <x v="225"/>
    <s v="CUST-0066"/>
    <x v="137"/>
    <s v="London"/>
    <x v="0"/>
    <x v="25"/>
    <x v="1"/>
    <n v="1"/>
    <n v="203.99"/>
    <n v="203.99"/>
    <n v="161.43"/>
    <n v="42.56"/>
    <x v="2"/>
    <x v="0"/>
  </r>
  <r>
    <s v="ORD-2025-0341"/>
    <x v="226"/>
    <s v="CUST-0011"/>
    <x v="9"/>
    <s v="Liverpool"/>
    <x v="1"/>
    <x v="3"/>
    <x v="3"/>
    <n v="1"/>
    <n v="29.06"/>
    <n v="29.06"/>
    <n v="17.239999999999998"/>
    <n v="11.82"/>
    <x v="4"/>
    <x v="1"/>
  </r>
  <r>
    <s v="ORD-2025-0341"/>
    <x v="226"/>
    <s v="CUST-0011"/>
    <x v="9"/>
    <s v="Liverpool"/>
    <x v="1"/>
    <x v="26"/>
    <x v="3"/>
    <n v="3"/>
    <n v="112.19"/>
    <n v="336.57"/>
    <n v="254.67"/>
    <n v="81.900000000000006"/>
    <x v="4"/>
    <x v="1"/>
  </r>
  <r>
    <s v="ORD-2025-0342"/>
    <x v="227"/>
    <s v="CUST-0047"/>
    <x v="5"/>
    <s v="London"/>
    <x v="0"/>
    <x v="1"/>
    <x v="1"/>
    <n v="1"/>
    <n v="8.7100000000000009"/>
    <n v="8.7100000000000009"/>
    <n v="4.04"/>
    <n v="4.67"/>
    <x v="1"/>
    <x v="0"/>
  </r>
  <r>
    <s v="ORD-2025-0343"/>
    <x v="228"/>
    <s v="CUST-0027"/>
    <x v="14"/>
    <s v="Sheffield"/>
    <x v="2"/>
    <x v="6"/>
    <x v="0"/>
    <n v="2"/>
    <n v="15.29"/>
    <n v="30.58"/>
    <n v="13.85"/>
    <n v="16.73"/>
    <x v="4"/>
    <x v="0"/>
  </r>
  <r>
    <s v="ORD-2025-0343"/>
    <x v="228"/>
    <s v="CUST-0027"/>
    <x v="14"/>
    <s v="Sheffield"/>
    <x v="2"/>
    <x v="11"/>
    <x v="4"/>
    <n v="1"/>
    <n v="96.89"/>
    <n v="96.89"/>
    <n v="74.75"/>
    <n v="22.14"/>
    <x v="4"/>
    <x v="0"/>
  </r>
  <r>
    <s v="ORD-2025-0344"/>
    <x v="229"/>
    <s v="CUST-0143"/>
    <x v="138"/>
    <s v="London"/>
    <x v="0"/>
    <x v="11"/>
    <x v="4"/>
    <n v="3"/>
    <n v="96.89"/>
    <n v="290.67"/>
    <n v="224.24"/>
    <n v="66.430000000000007"/>
    <x v="1"/>
    <x v="0"/>
  </r>
  <r>
    <s v="ORD-2025-0345"/>
    <x v="230"/>
    <s v="CUST-0004"/>
    <x v="69"/>
    <s v="Leeds"/>
    <x v="2"/>
    <x v="23"/>
    <x v="1"/>
    <n v="1"/>
    <n v="68.84"/>
    <n v="68.84"/>
    <n v="50.98"/>
    <n v="17.86"/>
    <x v="4"/>
    <x v="0"/>
  </r>
  <r>
    <s v="ORD-2025-0345"/>
    <x v="230"/>
    <s v="CUST-0004"/>
    <x v="69"/>
    <s v="Leeds"/>
    <x v="2"/>
    <x v="7"/>
    <x v="4"/>
    <n v="1"/>
    <n v="24.22"/>
    <n v="24.22"/>
    <n v="15.28"/>
    <n v="8.94"/>
    <x v="4"/>
    <x v="0"/>
  </r>
  <r>
    <s v="ORD-2025-0345"/>
    <x v="230"/>
    <s v="CUST-0004"/>
    <x v="69"/>
    <s v="Leeds"/>
    <x v="2"/>
    <x v="20"/>
    <x v="1"/>
    <n v="2"/>
    <n v="7.74"/>
    <n v="15.48"/>
    <n v="8.64"/>
    <n v="6.84"/>
    <x v="4"/>
    <x v="0"/>
  </r>
  <r>
    <s v="ORD-2025-0346"/>
    <x v="230"/>
    <s v="CUST-0051"/>
    <x v="113"/>
    <s v="London"/>
    <x v="0"/>
    <x v="10"/>
    <x v="4"/>
    <n v="1"/>
    <n v="71.39"/>
    <n v="71.39"/>
    <n v="47.26"/>
    <n v="24.13"/>
    <x v="4"/>
    <x v="0"/>
  </r>
  <r>
    <s v="ORD-2025-0347"/>
    <x v="230"/>
    <s v="CUST-0136"/>
    <x v="86"/>
    <s v="Nottingham"/>
    <x v="5"/>
    <x v="2"/>
    <x v="2"/>
    <n v="4"/>
    <n v="67.819999999999993"/>
    <n v="271.27999999999997"/>
    <n v="195.04"/>
    <n v="76.239999999999995"/>
    <x v="1"/>
    <x v="1"/>
  </r>
  <r>
    <s v="ORD-2025-0348"/>
    <x v="231"/>
    <s v="CUST-0053"/>
    <x v="139"/>
    <s v="Birmingham"/>
    <x v="5"/>
    <x v="26"/>
    <x v="3"/>
    <n v="1"/>
    <n v="95.36"/>
    <n v="95.36"/>
    <n v="83.54"/>
    <n v="11.82"/>
    <x v="4"/>
    <x v="1"/>
  </r>
  <r>
    <s v="ORD-2025-0349"/>
    <x v="232"/>
    <s v="CUST-0031"/>
    <x v="39"/>
    <s v="Bristol"/>
    <x v="7"/>
    <x v="6"/>
    <x v="0"/>
    <n v="2"/>
    <n v="15.29"/>
    <n v="30.58"/>
    <n v="14.16"/>
    <n v="16.420000000000002"/>
    <x v="4"/>
    <x v="3"/>
  </r>
  <r>
    <s v="ORD-2025-0349"/>
    <x v="232"/>
    <s v="CUST-0031"/>
    <x v="39"/>
    <s v="Bristol"/>
    <x v="7"/>
    <x v="12"/>
    <x v="0"/>
    <n v="2"/>
    <n v="19.37"/>
    <n v="38.74"/>
    <n v="19.09"/>
    <n v="19.649999999999999"/>
    <x v="4"/>
    <x v="3"/>
  </r>
  <r>
    <s v="ORD-2025-0349"/>
    <x v="232"/>
    <s v="CUST-0031"/>
    <x v="39"/>
    <s v="Bristol"/>
    <x v="7"/>
    <x v="27"/>
    <x v="0"/>
    <n v="1"/>
    <n v="25.49"/>
    <n v="25.49"/>
    <n v="13.32"/>
    <n v="12.17"/>
    <x v="4"/>
    <x v="3"/>
  </r>
  <r>
    <s v="ORD-2025-0350"/>
    <x v="233"/>
    <s v="CUST-0081"/>
    <x v="96"/>
    <s v="Southampton"/>
    <x v="3"/>
    <x v="20"/>
    <x v="1"/>
    <n v="1"/>
    <n v="6.52"/>
    <n v="6.52"/>
    <n v="4.41"/>
    <n v="2.11"/>
    <x v="6"/>
    <x v="1"/>
  </r>
  <r>
    <s v="ORD-2025-0351"/>
    <x v="233"/>
    <s v="CUST-0124"/>
    <x v="88"/>
    <s v="Sheffield"/>
    <x v="2"/>
    <x v="26"/>
    <x v="3"/>
    <n v="1"/>
    <n v="112.19"/>
    <n v="112.19"/>
    <n v="84.89"/>
    <n v="27.3"/>
    <x v="3"/>
    <x v="1"/>
  </r>
  <r>
    <s v="ORD-2025-0352"/>
    <x v="234"/>
    <s v="CUST-0012"/>
    <x v="41"/>
    <s v="Manchester"/>
    <x v="1"/>
    <x v="0"/>
    <x v="0"/>
    <n v="3"/>
    <n v="27.53"/>
    <n v="82.59"/>
    <n v="43.99"/>
    <n v="38.6"/>
    <x v="4"/>
    <x v="0"/>
  </r>
  <r>
    <s v="ORD-2025-0352"/>
    <x v="234"/>
    <s v="CUST-0012"/>
    <x v="41"/>
    <s v="Manchester"/>
    <x v="1"/>
    <x v="29"/>
    <x v="4"/>
    <n v="2"/>
    <n v="61.19"/>
    <n v="122.38"/>
    <n v="83.45"/>
    <n v="38.93"/>
    <x v="4"/>
    <x v="0"/>
  </r>
  <r>
    <s v="ORD-2025-0352"/>
    <x v="234"/>
    <s v="CUST-0012"/>
    <x v="41"/>
    <s v="Manchester"/>
    <x v="1"/>
    <x v="9"/>
    <x v="3"/>
    <n v="1"/>
    <n v="35.69"/>
    <n v="35.69"/>
    <n v="22.21"/>
    <n v="13.48"/>
    <x v="4"/>
    <x v="0"/>
  </r>
  <r>
    <s v="ORD-2025-0353"/>
    <x v="235"/>
    <s v="CUST-0010"/>
    <x v="4"/>
    <s v="Brighton"/>
    <x v="3"/>
    <x v="24"/>
    <x v="4"/>
    <n v="2"/>
    <n v="45.89"/>
    <n v="91.78"/>
    <n v="60.31"/>
    <n v="31.47"/>
    <x v="1"/>
    <x v="1"/>
  </r>
  <r>
    <s v="ORD-2025-0354"/>
    <x v="235"/>
    <s v="CUST-0043"/>
    <x v="63"/>
    <s v="Birmingham"/>
    <x v="5"/>
    <x v="0"/>
    <x v="0"/>
    <n v="2"/>
    <n v="27.53"/>
    <n v="55.06"/>
    <n v="29.33"/>
    <n v="25.73"/>
    <x v="4"/>
    <x v="0"/>
  </r>
  <r>
    <s v="ORD-2025-0355"/>
    <x v="236"/>
    <s v="CUST-0007"/>
    <x v="107"/>
    <s v="Southampton"/>
    <x v="3"/>
    <x v="27"/>
    <x v="0"/>
    <n v="1"/>
    <n v="25.49"/>
    <n v="25.49"/>
    <n v="13.07"/>
    <n v="12.42"/>
    <x v="3"/>
    <x v="0"/>
  </r>
  <r>
    <s v="ORD-2025-0356"/>
    <x v="237"/>
    <s v="CUST-0011"/>
    <x v="9"/>
    <s v="Liverpool"/>
    <x v="1"/>
    <x v="12"/>
    <x v="0"/>
    <n v="1"/>
    <n v="18.399999999999999"/>
    <n v="18.399999999999999"/>
    <n v="9.76"/>
    <n v="8.64"/>
    <x v="4"/>
    <x v="1"/>
  </r>
  <r>
    <s v="ORD-2025-0357"/>
    <x v="237"/>
    <s v="CUST-0031"/>
    <x v="39"/>
    <s v="Bristol"/>
    <x v="7"/>
    <x v="7"/>
    <x v="4"/>
    <n v="2"/>
    <n v="25.49"/>
    <n v="50.98"/>
    <n v="34.020000000000003"/>
    <n v="16.96"/>
    <x v="1"/>
    <x v="2"/>
  </r>
  <r>
    <s v="ORD-2025-0357"/>
    <x v="237"/>
    <s v="CUST-0031"/>
    <x v="39"/>
    <s v="Bristol"/>
    <x v="7"/>
    <x v="15"/>
    <x v="4"/>
    <n v="1"/>
    <n v="38.75"/>
    <n v="38.75"/>
    <n v="25.76"/>
    <n v="12.99"/>
    <x v="1"/>
    <x v="2"/>
  </r>
  <r>
    <s v="ORD-2025-0358"/>
    <x v="238"/>
    <s v="CUST-0004"/>
    <x v="69"/>
    <s v="Leeds"/>
    <x v="2"/>
    <x v="24"/>
    <x v="4"/>
    <n v="2"/>
    <n v="45.89"/>
    <n v="91.78"/>
    <n v="58.02"/>
    <n v="33.76"/>
    <x v="0"/>
    <x v="0"/>
  </r>
  <r>
    <s v="ORD-2025-0359"/>
    <x v="238"/>
    <s v="CUST-0011"/>
    <x v="9"/>
    <s v="Liverpool"/>
    <x v="1"/>
    <x v="14"/>
    <x v="2"/>
    <n v="1"/>
    <n v="20.39"/>
    <n v="20.39"/>
    <n v="10.56"/>
    <n v="9.83"/>
    <x v="1"/>
    <x v="1"/>
  </r>
  <r>
    <s v="ORD-2025-0359"/>
    <x v="238"/>
    <s v="CUST-0011"/>
    <x v="9"/>
    <s v="Liverpool"/>
    <x v="1"/>
    <x v="7"/>
    <x v="4"/>
    <n v="1"/>
    <n v="22.94"/>
    <n v="22.94"/>
    <n v="15.79"/>
    <n v="7.15"/>
    <x v="1"/>
    <x v="1"/>
  </r>
  <r>
    <s v="ORD-2025-0359"/>
    <x v="238"/>
    <s v="CUST-0011"/>
    <x v="9"/>
    <s v="Liverpool"/>
    <x v="1"/>
    <x v="5"/>
    <x v="1"/>
    <n v="1"/>
    <n v="13.25"/>
    <n v="13.25"/>
    <n v="6.6"/>
    <n v="6.65"/>
    <x v="1"/>
    <x v="1"/>
  </r>
  <r>
    <s v="ORD-2025-0360"/>
    <x v="239"/>
    <s v="CUST-0008"/>
    <x v="25"/>
    <s v="Glasgow"/>
    <x v="6"/>
    <x v="5"/>
    <x v="1"/>
    <n v="6"/>
    <n v="12.59"/>
    <n v="75.540000000000006"/>
    <n v="37.380000000000003"/>
    <n v="38.159999999999997"/>
    <x v="0"/>
    <x v="0"/>
  </r>
  <r>
    <s v="ORD-2025-0361"/>
    <x v="240"/>
    <s v="CUST-0161"/>
    <x v="23"/>
    <s v="Birmingham"/>
    <x v="5"/>
    <x v="12"/>
    <x v="0"/>
    <n v="1"/>
    <n v="16.46"/>
    <n v="16.46"/>
    <n v="9.19"/>
    <n v="7.27"/>
    <x v="4"/>
    <x v="0"/>
  </r>
  <r>
    <s v="ORD-2025-0362"/>
    <x v="241"/>
    <s v="CUST-0007"/>
    <x v="107"/>
    <s v="Southampton"/>
    <x v="3"/>
    <x v="28"/>
    <x v="4"/>
    <n v="1"/>
    <n v="53.29"/>
    <n v="53.29"/>
    <n v="36.42"/>
    <n v="16.87"/>
    <x v="0"/>
    <x v="0"/>
  </r>
  <r>
    <s v="ORD-2025-0363"/>
    <x v="242"/>
    <s v="CUST-0018"/>
    <x v="90"/>
    <s v="Leeds"/>
    <x v="2"/>
    <x v="12"/>
    <x v="0"/>
    <n v="1"/>
    <n v="19.37"/>
    <n v="19.37"/>
    <n v="9.35"/>
    <n v="10.02"/>
    <x v="4"/>
    <x v="0"/>
  </r>
  <r>
    <s v="ORD-2025-0364"/>
    <x v="242"/>
    <s v="CUST-0155"/>
    <x v="57"/>
    <s v="Leeds"/>
    <x v="2"/>
    <x v="0"/>
    <x v="0"/>
    <n v="3"/>
    <n v="23.4"/>
    <n v="70.2"/>
    <n v="45.06"/>
    <n v="25.14"/>
    <x v="6"/>
    <x v="1"/>
  </r>
  <r>
    <s v="ORD-2025-0365"/>
    <x v="242"/>
    <s v="CUST-0162"/>
    <x v="117"/>
    <s v="Newcastle"/>
    <x v="9"/>
    <x v="4"/>
    <x v="3"/>
    <n v="1"/>
    <n v="77.510000000000005"/>
    <n v="77.510000000000005"/>
    <n v="58.16"/>
    <n v="19.350000000000001"/>
    <x v="1"/>
    <x v="1"/>
  </r>
  <r>
    <s v="ORD-2025-0366"/>
    <x v="243"/>
    <s v="CUST-0170"/>
    <x v="99"/>
    <s v="London"/>
    <x v="0"/>
    <x v="20"/>
    <x v="1"/>
    <n v="1"/>
    <n v="7.74"/>
    <n v="7.74"/>
    <n v="4.51"/>
    <n v="3.23"/>
    <x v="4"/>
    <x v="1"/>
  </r>
  <r>
    <s v="ORD-2025-0366"/>
    <x v="243"/>
    <s v="CUST-0170"/>
    <x v="99"/>
    <s v="London"/>
    <x v="0"/>
    <x v="6"/>
    <x v="0"/>
    <n v="1"/>
    <n v="13.76"/>
    <n v="13.76"/>
    <n v="7.19"/>
    <n v="6.57"/>
    <x v="4"/>
    <x v="1"/>
  </r>
  <r>
    <s v="ORD-2025-0367"/>
    <x v="244"/>
    <s v="CUST-0007"/>
    <x v="107"/>
    <s v="Southampton"/>
    <x v="3"/>
    <x v="7"/>
    <x v="4"/>
    <n v="1"/>
    <n v="25.49"/>
    <n v="25.49"/>
    <n v="15.99"/>
    <n v="9.5"/>
    <x v="4"/>
    <x v="1"/>
  </r>
  <r>
    <s v="ORD-2025-0368"/>
    <x v="244"/>
    <s v="CUST-0010"/>
    <x v="4"/>
    <s v="Brighton"/>
    <x v="3"/>
    <x v="26"/>
    <x v="3"/>
    <n v="1"/>
    <n v="106.58"/>
    <n v="106.58"/>
    <n v="84.44"/>
    <n v="22.14"/>
    <x v="1"/>
    <x v="1"/>
  </r>
  <r>
    <s v="ORD-2025-0369"/>
    <x v="245"/>
    <s v="CUST-0006"/>
    <x v="71"/>
    <s v="Nottingham"/>
    <x v="5"/>
    <x v="17"/>
    <x v="0"/>
    <n v="1"/>
    <n v="86.69"/>
    <n v="86.69"/>
    <n v="63.01"/>
    <n v="23.68"/>
    <x v="4"/>
    <x v="1"/>
  </r>
  <r>
    <s v="ORD-2025-0370"/>
    <x v="245"/>
    <s v="CUST-0043"/>
    <x v="63"/>
    <s v="Birmingham"/>
    <x v="5"/>
    <x v="4"/>
    <x v="3"/>
    <n v="1"/>
    <n v="81.59"/>
    <n v="81.59"/>
    <n v="56.45"/>
    <n v="25.14"/>
    <x v="1"/>
    <x v="0"/>
  </r>
  <r>
    <s v="ORD-2025-0370"/>
    <x v="245"/>
    <s v="CUST-0043"/>
    <x v="63"/>
    <s v="Birmingham"/>
    <x v="5"/>
    <x v="12"/>
    <x v="0"/>
    <n v="3"/>
    <n v="18.399999999999999"/>
    <n v="55.2"/>
    <n v="27.9"/>
    <n v="27.3"/>
    <x v="1"/>
    <x v="0"/>
  </r>
  <r>
    <s v="ORD-2025-0371"/>
    <x v="246"/>
    <s v="CUST-0014"/>
    <x v="49"/>
    <s v="Cardiff"/>
    <x v="8"/>
    <x v="9"/>
    <x v="3"/>
    <n v="1"/>
    <n v="35.69"/>
    <n v="35.69"/>
    <n v="22.21"/>
    <n v="13.48"/>
    <x v="3"/>
    <x v="0"/>
  </r>
  <r>
    <s v="ORD-2025-0372"/>
    <x v="247"/>
    <s v="CUST-0119"/>
    <x v="121"/>
    <s v="Leeds"/>
    <x v="2"/>
    <x v="20"/>
    <x v="1"/>
    <n v="2"/>
    <n v="8.15"/>
    <n v="16.3"/>
    <n v="9.09"/>
    <n v="7.21"/>
    <x v="4"/>
    <x v="1"/>
  </r>
  <r>
    <s v="ORD-2025-0372"/>
    <x v="247"/>
    <s v="CUST-0119"/>
    <x v="121"/>
    <s v="Leeds"/>
    <x v="2"/>
    <x v="1"/>
    <x v="1"/>
    <n v="1"/>
    <n v="7.79"/>
    <n v="7.79"/>
    <n v="4.18"/>
    <n v="3.61"/>
    <x v="4"/>
    <x v="1"/>
  </r>
  <r>
    <s v="ORD-2025-0373"/>
    <x v="248"/>
    <s v="CUST-0011"/>
    <x v="9"/>
    <s v="Liverpool"/>
    <x v="1"/>
    <x v="5"/>
    <x v="1"/>
    <n v="1"/>
    <n v="11.92"/>
    <n v="11.92"/>
    <n v="6.49"/>
    <n v="5.43"/>
    <x v="6"/>
    <x v="1"/>
  </r>
  <r>
    <s v="ORD-2025-0374"/>
    <x v="249"/>
    <s v="CUST-0145"/>
    <x v="73"/>
    <s v="Exeter"/>
    <x v="7"/>
    <x v="14"/>
    <x v="2"/>
    <n v="1"/>
    <n v="20.39"/>
    <n v="20.39"/>
    <n v="10.56"/>
    <n v="9.83"/>
    <x v="1"/>
    <x v="1"/>
  </r>
  <r>
    <s v="ORD-2025-0375"/>
    <x v="250"/>
    <s v="CUST-0033"/>
    <x v="42"/>
    <s v="Manchester"/>
    <x v="1"/>
    <x v="1"/>
    <x v="1"/>
    <n v="1"/>
    <n v="9.17"/>
    <n v="9.17"/>
    <n v="4.0599999999999996"/>
    <n v="5.1100000000000003"/>
    <x v="4"/>
    <x v="0"/>
  </r>
  <r>
    <s v="ORD-2025-0375"/>
    <x v="250"/>
    <s v="CUST-0033"/>
    <x v="42"/>
    <s v="Manchester"/>
    <x v="1"/>
    <x v="5"/>
    <x v="1"/>
    <n v="1"/>
    <n v="11.92"/>
    <n v="11.92"/>
    <n v="6.19"/>
    <n v="5.73"/>
    <x v="4"/>
    <x v="0"/>
  </r>
  <r>
    <s v="ORD-2025-0376"/>
    <x v="250"/>
    <s v="CUST-0034"/>
    <x v="11"/>
    <s v="Liverpool"/>
    <x v="1"/>
    <x v="28"/>
    <x v="4"/>
    <n v="1"/>
    <n v="56.09"/>
    <n v="56.09"/>
    <n v="36.57"/>
    <n v="19.52"/>
    <x v="1"/>
    <x v="0"/>
  </r>
  <r>
    <s v="ORD-2025-0376"/>
    <x v="250"/>
    <s v="CUST-0034"/>
    <x v="11"/>
    <s v="Liverpool"/>
    <x v="1"/>
    <x v="1"/>
    <x v="1"/>
    <n v="1"/>
    <n v="8.7100000000000009"/>
    <n v="8.7100000000000009"/>
    <n v="4.04"/>
    <n v="4.67"/>
    <x v="1"/>
    <x v="0"/>
  </r>
  <r>
    <s v="ORD-2025-0377"/>
    <x v="251"/>
    <s v="CUST-0110"/>
    <x v="108"/>
    <s v="Cardiff"/>
    <x v="8"/>
    <x v="1"/>
    <x v="1"/>
    <n v="3"/>
    <n v="8.7100000000000009"/>
    <n v="26.13"/>
    <n v="12.11"/>
    <n v="14.02"/>
    <x v="3"/>
    <x v="0"/>
  </r>
  <r>
    <s v="ORD-2025-0378"/>
    <x v="251"/>
    <s v="CUST-0157"/>
    <x v="106"/>
    <s v="London"/>
    <x v="0"/>
    <x v="13"/>
    <x v="2"/>
    <n v="3"/>
    <n v="28.55"/>
    <n v="85.65"/>
    <n v="43.92"/>
    <n v="41.73"/>
    <x v="4"/>
    <x v="3"/>
  </r>
  <r>
    <s v="ORD-2025-0378"/>
    <x v="251"/>
    <s v="CUST-0157"/>
    <x v="106"/>
    <s v="London"/>
    <x v="0"/>
    <x v="18"/>
    <x v="2"/>
    <n v="1"/>
    <n v="45.89"/>
    <n v="45.89"/>
    <n v="27.64"/>
    <n v="18.25"/>
    <x v="4"/>
    <x v="3"/>
  </r>
  <r>
    <s v="ORD-2025-0379"/>
    <x v="252"/>
    <s v="CUST-0146"/>
    <x v="104"/>
    <s v="Manchester"/>
    <x v="1"/>
    <x v="25"/>
    <x v="1"/>
    <n v="1"/>
    <n v="163.19"/>
    <n v="163.19"/>
    <n v="159.19"/>
    <n v="4"/>
    <x v="4"/>
    <x v="0"/>
  </r>
  <r>
    <s v="ORD-2025-0380"/>
    <x v="253"/>
    <s v="CUST-0026"/>
    <x v="140"/>
    <s v="Liverpool"/>
    <x v="1"/>
    <x v="20"/>
    <x v="1"/>
    <n v="3"/>
    <n v="8.15"/>
    <n v="24.45"/>
    <n v="14.61"/>
    <n v="9.84"/>
    <x v="4"/>
    <x v="2"/>
  </r>
  <r>
    <s v="ORD-2025-0381"/>
    <x v="253"/>
    <s v="CUST-0157"/>
    <x v="106"/>
    <s v="London"/>
    <x v="0"/>
    <x v="0"/>
    <x v="0"/>
    <n v="1"/>
    <n v="27.53"/>
    <n v="27.53"/>
    <n v="14.94"/>
    <n v="12.59"/>
    <x v="4"/>
    <x v="3"/>
  </r>
  <r>
    <s v="ORD-2025-0382"/>
    <x v="254"/>
    <s v="CUST-0134"/>
    <x v="141"/>
    <s v="Leeds"/>
    <x v="2"/>
    <x v="4"/>
    <x v="3"/>
    <n v="2"/>
    <n v="81.59"/>
    <n v="163.18"/>
    <n v="112.9"/>
    <n v="50.28"/>
    <x v="1"/>
    <x v="0"/>
  </r>
  <r>
    <s v="ORD-2025-0383"/>
    <x v="255"/>
    <s v="CUST-0116"/>
    <x v="91"/>
    <s v="London"/>
    <x v="0"/>
    <x v="18"/>
    <x v="2"/>
    <n v="2"/>
    <n v="41.3"/>
    <n v="82.6"/>
    <n v="53.86"/>
    <n v="28.74"/>
    <x v="4"/>
    <x v="0"/>
  </r>
  <r>
    <s v="ORD-2025-0384"/>
    <x v="255"/>
    <s v="CUST-0125"/>
    <x v="142"/>
    <s v="London"/>
    <x v="0"/>
    <x v="27"/>
    <x v="0"/>
    <n v="2"/>
    <n v="25.49"/>
    <n v="50.98"/>
    <n v="26.14"/>
    <n v="24.84"/>
    <x v="1"/>
    <x v="0"/>
  </r>
  <r>
    <s v="ORD-2025-0384"/>
    <x v="255"/>
    <s v="CUST-0125"/>
    <x v="142"/>
    <s v="London"/>
    <x v="0"/>
    <x v="15"/>
    <x v="4"/>
    <n v="1"/>
    <n v="38.75"/>
    <n v="38.75"/>
    <n v="23.24"/>
    <n v="15.51"/>
    <x v="1"/>
    <x v="0"/>
  </r>
  <r>
    <s v="ORD-2025-0385"/>
    <x v="256"/>
    <s v="CUST-0105"/>
    <x v="143"/>
    <s v="Brighton"/>
    <x v="3"/>
    <x v="19"/>
    <x v="4"/>
    <n v="2"/>
    <n v="142.79"/>
    <n v="285.58"/>
    <n v="236.04"/>
    <n v="49.54"/>
    <x v="0"/>
    <x v="2"/>
  </r>
  <r>
    <s v="ORD-2025-0386"/>
    <x v="257"/>
    <s v="CUST-0128"/>
    <x v="124"/>
    <s v="London"/>
    <x v="0"/>
    <x v="6"/>
    <x v="0"/>
    <n v="1"/>
    <n v="15.29"/>
    <n v="15.29"/>
    <n v="7.31"/>
    <n v="7.98"/>
    <x v="4"/>
    <x v="1"/>
  </r>
  <r>
    <s v="ORD-2025-0386"/>
    <x v="257"/>
    <s v="CUST-0128"/>
    <x v="124"/>
    <s v="London"/>
    <x v="0"/>
    <x v="9"/>
    <x v="3"/>
    <n v="4"/>
    <n v="35.69"/>
    <n v="142.76"/>
    <n v="92.39"/>
    <n v="50.37"/>
    <x v="4"/>
    <x v="1"/>
  </r>
  <r>
    <s v="ORD-2025-0386"/>
    <x v="257"/>
    <s v="CUST-0128"/>
    <x v="124"/>
    <s v="London"/>
    <x v="0"/>
    <x v="1"/>
    <x v="1"/>
    <n v="2"/>
    <n v="7.79"/>
    <n v="15.58"/>
    <n v="8.36"/>
    <n v="7.22"/>
    <x v="4"/>
    <x v="1"/>
  </r>
  <r>
    <s v="ORD-2025-0387"/>
    <x v="258"/>
    <s v="CUST-0071"/>
    <x v="13"/>
    <s v="Southampton"/>
    <x v="3"/>
    <x v="14"/>
    <x v="2"/>
    <n v="5"/>
    <n v="19.37"/>
    <n v="96.85"/>
    <n v="49.96"/>
    <n v="46.89"/>
    <x v="0"/>
    <x v="0"/>
  </r>
  <r>
    <s v="ORD-2025-0388"/>
    <x v="259"/>
    <s v="CUST-0051"/>
    <x v="113"/>
    <s v="London"/>
    <x v="0"/>
    <x v="2"/>
    <x v="2"/>
    <n v="1"/>
    <n v="71.39"/>
    <n v="71.39"/>
    <n v="47.97"/>
    <n v="23.42"/>
    <x v="4"/>
    <x v="3"/>
  </r>
  <r>
    <s v="ORD-2025-0389"/>
    <x v="260"/>
    <s v="CUST-0136"/>
    <x v="86"/>
    <s v="Nottingham"/>
    <x v="5"/>
    <x v="11"/>
    <x v="4"/>
    <n v="1"/>
    <n v="77.510000000000005"/>
    <n v="77.510000000000005"/>
    <n v="73.680000000000007"/>
    <n v="3.83"/>
    <x v="4"/>
    <x v="0"/>
  </r>
  <r>
    <s v="ORD-2025-0390"/>
    <x v="261"/>
    <s v="CUST-0033"/>
    <x v="42"/>
    <s v="Manchester"/>
    <x v="1"/>
    <x v="8"/>
    <x v="3"/>
    <n v="2"/>
    <n v="82.61"/>
    <n v="165.22"/>
    <n v="140.4"/>
    <n v="24.82"/>
    <x v="1"/>
    <x v="2"/>
  </r>
  <r>
    <s v="ORD-2025-0391"/>
    <x v="261"/>
    <s v="CUST-0154"/>
    <x v="144"/>
    <s v="Birmingham"/>
    <x v="5"/>
    <x v="15"/>
    <x v="4"/>
    <n v="1"/>
    <n v="40.79"/>
    <n v="40.79"/>
    <n v="23.35"/>
    <n v="17.440000000000001"/>
    <x v="1"/>
    <x v="0"/>
  </r>
  <r>
    <s v="ORD-2025-0391"/>
    <x v="261"/>
    <s v="CUST-0154"/>
    <x v="144"/>
    <s v="Birmingham"/>
    <x v="5"/>
    <x v="11"/>
    <x v="4"/>
    <n v="1"/>
    <n v="87.2"/>
    <n v="87.2"/>
    <n v="74.209999999999994"/>
    <n v="12.99"/>
    <x v="1"/>
    <x v="0"/>
  </r>
  <r>
    <s v="ORD-2025-0392"/>
    <x v="261"/>
    <s v="CUST-0178"/>
    <x v="35"/>
    <s v="London"/>
    <x v="0"/>
    <x v="6"/>
    <x v="0"/>
    <n v="2"/>
    <n v="13.76"/>
    <n v="27.52"/>
    <n v="13.69"/>
    <n v="13.83"/>
    <x v="0"/>
    <x v="0"/>
  </r>
  <r>
    <s v="ORD-2025-0392"/>
    <x v="261"/>
    <s v="CUST-0178"/>
    <x v="35"/>
    <s v="London"/>
    <x v="0"/>
    <x v="5"/>
    <x v="1"/>
    <n v="3"/>
    <n v="13.25"/>
    <n v="39.75"/>
    <n v="18.8"/>
    <n v="20.95"/>
    <x v="0"/>
    <x v="0"/>
  </r>
  <r>
    <s v="ORD-2025-0393"/>
    <x v="262"/>
    <s v="CUST-0066"/>
    <x v="137"/>
    <s v="London"/>
    <x v="0"/>
    <x v="12"/>
    <x v="0"/>
    <n v="1"/>
    <n v="18.399999999999999"/>
    <n v="18.399999999999999"/>
    <n v="10.5"/>
    <n v="7.9"/>
    <x v="1"/>
    <x v="2"/>
  </r>
  <r>
    <s v="ORD-2025-0394"/>
    <x v="263"/>
    <s v="CUST-0037"/>
    <x v="44"/>
    <s v="London"/>
    <x v="0"/>
    <x v="20"/>
    <x v="1"/>
    <n v="2"/>
    <n v="6.93"/>
    <n v="13.86"/>
    <n v="8.89"/>
    <n v="4.97"/>
    <x v="1"/>
    <x v="1"/>
  </r>
  <r>
    <s v="ORD-2025-0395"/>
    <x v="264"/>
    <s v="CUST-0027"/>
    <x v="14"/>
    <s v="Sheffield"/>
    <x v="2"/>
    <x v="29"/>
    <x v="4"/>
    <n v="1"/>
    <n v="61.19"/>
    <n v="61.19"/>
    <n v="43.26"/>
    <n v="17.93"/>
    <x v="2"/>
    <x v="1"/>
  </r>
  <r>
    <s v="ORD-2025-0396"/>
    <x v="264"/>
    <s v="CUST-0040"/>
    <x v="112"/>
    <s v="Brighton"/>
    <x v="3"/>
    <x v="24"/>
    <x v="4"/>
    <n v="1"/>
    <n v="43.6"/>
    <n v="43.6"/>
    <n v="28.88"/>
    <n v="14.72"/>
    <x v="1"/>
    <x v="0"/>
  </r>
  <r>
    <s v="ORD-2025-0396"/>
    <x v="264"/>
    <s v="CUST-0040"/>
    <x v="112"/>
    <s v="Brighton"/>
    <x v="3"/>
    <x v="0"/>
    <x v="0"/>
    <n v="1"/>
    <n v="27.53"/>
    <n v="27.53"/>
    <n v="14.66"/>
    <n v="12.87"/>
    <x v="1"/>
    <x v="0"/>
  </r>
  <r>
    <s v="ORD-2025-0397"/>
    <x v="265"/>
    <s v="CUST-0009"/>
    <x v="34"/>
    <s v="Brighton"/>
    <x v="3"/>
    <x v="28"/>
    <x v="4"/>
    <n v="4"/>
    <n v="53.29"/>
    <n v="213.16"/>
    <n v="151.01"/>
    <n v="62.15"/>
    <x v="4"/>
    <x v="1"/>
  </r>
  <r>
    <s v="ORD-2025-0398"/>
    <x v="265"/>
    <s v="CUST-0035"/>
    <x v="12"/>
    <s v="London"/>
    <x v="0"/>
    <x v="29"/>
    <x v="4"/>
    <n v="1"/>
    <n v="58.13"/>
    <n v="58.13"/>
    <n v="43.01"/>
    <n v="15.12"/>
    <x v="3"/>
    <x v="1"/>
  </r>
  <r>
    <s v="ORD-2025-0398"/>
    <x v="265"/>
    <s v="CUST-0035"/>
    <x v="12"/>
    <s v="London"/>
    <x v="0"/>
    <x v="1"/>
    <x v="1"/>
    <n v="1"/>
    <n v="8.25"/>
    <n v="8.25"/>
    <n v="4.22"/>
    <n v="4.03"/>
    <x v="3"/>
    <x v="1"/>
  </r>
  <r>
    <s v="ORD-2025-0399"/>
    <x v="265"/>
    <s v="CUST-0093"/>
    <x v="54"/>
    <s v="Nottingham"/>
    <x v="5"/>
    <x v="14"/>
    <x v="2"/>
    <n v="1"/>
    <n v="20.39"/>
    <n v="20.39"/>
    <n v="10.25"/>
    <n v="10.14"/>
    <x v="1"/>
    <x v="3"/>
  </r>
  <r>
    <s v="ORD-2025-0399"/>
    <x v="265"/>
    <s v="CUST-0093"/>
    <x v="54"/>
    <s v="Nottingham"/>
    <x v="5"/>
    <x v="1"/>
    <x v="1"/>
    <n v="1"/>
    <n v="8.25"/>
    <n v="8.25"/>
    <n v="4.09"/>
    <n v="4.16"/>
    <x v="1"/>
    <x v="3"/>
  </r>
  <r>
    <s v="ORD-2025-0400"/>
    <x v="266"/>
    <s v="CUST-0108"/>
    <x v="32"/>
    <s v="Norwich"/>
    <x v="10"/>
    <x v="10"/>
    <x v="4"/>
    <n v="3"/>
    <n v="71.39"/>
    <n v="214.17"/>
    <n v="141.78"/>
    <n v="72.39"/>
    <x v="1"/>
    <x v="0"/>
  </r>
  <r>
    <s v="ORD-2025-0400"/>
    <x v="266"/>
    <s v="CUST-0108"/>
    <x v="32"/>
    <s v="Norwich"/>
    <x v="10"/>
    <x v="20"/>
    <x v="1"/>
    <n v="1"/>
    <n v="7.33"/>
    <n v="7.33"/>
    <n v="4.3"/>
    <n v="3.03"/>
    <x v="1"/>
    <x v="0"/>
  </r>
  <r>
    <s v="ORD-2025-0400"/>
    <x v="266"/>
    <s v="CUST-0108"/>
    <x v="32"/>
    <s v="Norwich"/>
    <x v="10"/>
    <x v="21"/>
    <x v="1"/>
    <n v="3"/>
    <n v="122.39"/>
    <n v="367.17"/>
    <n v="272.3"/>
    <n v="94.87"/>
    <x v="1"/>
    <x v="0"/>
  </r>
  <r>
    <s v="ORD-2025-0401"/>
    <x v="267"/>
    <s v="CUST-0039"/>
    <x v="61"/>
    <s v="Cambridge"/>
    <x v="10"/>
    <x v="9"/>
    <x v="3"/>
    <n v="1"/>
    <n v="35.69"/>
    <n v="35.69"/>
    <n v="23.1"/>
    <n v="12.59"/>
    <x v="4"/>
    <x v="1"/>
  </r>
  <r>
    <s v="ORD-2025-0401"/>
    <x v="267"/>
    <s v="CUST-0039"/>
    <x v="61"/>
    <s v="Cambridge"/>
    <x v="10"/>
    <x v="10"/>
    <x v="4"/>
    <n v="1"/>
    <n v="64.25"/>
    <n v="64.25"/>
    <n v="48.47"/>
    <n v="15.78"/>
    <x v="4"/>
    <x v="1"/>
  </r>
  <r>
    <s v="ORD-2025-0402"/>
    <x v="268"/>
    <s v="CUST-0120"/>
    <x v="36"/>
    <s v="Edinburgh"/>
    <x v="6"/>
    <x v="20"/>
    <x v="1"/>
    <n v="1"/>
    <n v="8.15"/>
    <n v="8.15"/>
    <n v="4.54"/>
    <n v="3.61"/>
    <x v="6"/>
    <x v="1"/>
  </r>
  <r>
    <s v="ORD-2025-0402"/>
    <x v="268"/>
    <s v="CUST-0120"/>
    <x v="36"/>
    <s v="Edinburgh"/>
    <x v="6"/>
    <x v="29"/>
    <x v="4"/>
    <n v="2"/>
    <n v="52.01"/>
    <n v="104.02"/>
    <n v="85.04"/>
    <n v="18.98"/>
    <x v="6"/>
    <x v="1"/>
  </r>
  <r>
    <s v="ORD-2025-0402"/>
    <x v="268"/>
    <s v="CUST-0120"/>
    <x v="36"/>
    <s v="Edinburgh"/>
    <x v="6"/>
    <x v="24"/>
    <x v="4"/>
    <n v="1"/>
    <n v="45.89"/>
    <n v="45.89"/>
    <n v="30.16"/>
    <n v="15.73"/>
    <x v="6"/>
    <x v="1"/>
  </r>
  <r>
    <s v="ORD-2025-0403"/>
    <x v="269"/>
    <s v="CUST-0073"/>
    <x v="118"/>
    <s v="Leeds"/>
    <x v="2"/>
    <x v="12"/>
    <x v="0"/>
    <n v="1"/>
    <n v="19.37"/>
    <n v="19.37"/>
    <n v="9.84"/>
    <n v="9.5299999999999994"/>
    <x v="3"/>
    <x v="1"/>
  </r>
  <r>
    <s v="ORD-2025-0404"/>
    <x v="270"/>
    <s v="CUST-0014"/>
    <x v="49"/>
    <s v="Cardiff"/>
    <x v="8"/>
    <x v="18"/>
    <x v="2"/>
    <n v="2"/>
    <n v="39.01"/>
    <n v="78.02"/>
    <n v="58.68"/>
    <n v="19.34"/>
    <x v="0"/>
    <x v="2"/>
  </r>
  <r>
    <s v="ORD-2025-0405"/>
    <x v="271"/>
    <s v="CUST-0005"/>
    <x v="1"/>
    <s v="Liverpool"/>
    <x v="1"/>
    <x v="5"/>
    <x v="1"/>
    <n v="3"/>
    <n v="11.92"/>
    <n v="35.76"/>
    <n v="18.579999999999998"/>
    <n v="17.18"/>
    <x v="4"/>
    <x v="0"/>
  </r>
  <r>
    <s v="ORD-2025-0406"/>
    <x v="272"/>
    <s v="CUST-0001"/>
    <x v="21"/>
    <s v="Bristol"/>
    <x v="7"/>
    <x v="14"/>
    <x v="2"/>
    <n v="2"/>
    <n v="20.39"/>
    <n v="40.78"/>
    <n v="20.100000000000001"/>
    <n v="20.68"/>
    <x v="0"/>
    <x v="0"/>
  </r>
  <r>
    <s v="ORD-2025-0407"/>
    <x v="272"/>
    <s v="CUST-0027"/>
    <x v="14"/>
    <s v="Sheffield"/>
    <x v="2"/>
    <x v="7"/>
    <x v="4"/>
    <n v="1"/>
    <n v="24.22"/>
    <n v="24.22"/>
    <n v="15.52"/>
    <n v="8.6999999999999993"/>
    <x v="4"/>
    <x v="3"/>
  </r>
  <r>
    <s v="ORD-2025-0408"/>
    <x v="273"/>
    <s v="CUST-0039"/>
    <x v="61"/>
    <s v="Cambridge"/>
    <x v="10"/>
    <x v="10"/>
    <x v="4"/>
    <n v="1"/>
    <n v="71.39"/>
    <n v="71.39"/>
    <n v="47.26"/>
    <n v="24.13"/>
    <x v="0"/>
    <x v="0"/>
  </r>
  <r>
    <s v="ORD-2025-0409"/>
    <x v="274"/>
    <s v="CUST-0039"/>
    <x v="61"/>
    <s v="Cambridge"/>
    <x v="10"/>
    <x v="18"/>
    <x v="2"/>
    <n v="2"/>
    <n v="43.6"/>
    <n v="87.2"/>
    <n v="54.11"/>
    <n v="33.090000000000003"/>
    <x v="4"/>
    <x v="0"/>
  </r>
  <r>
    <s v="ORD-2025-0410"/>
    <x v="274"/>
    <s v="CUST-0143"/>
    <x v="138"/>
    <s v="London"/>
    <x v="0"/>
    <x v="1"/>
    <x v="1"/>
    <n v="1"/>
    <n v="7.79"/>
    <n v="7.79"/>
    <n v="3.99"/>
    <n v="3.8"/>
    <x v="4"/>
    <x v="0"/>
  </r>
  <r>
    <s v="ORD-2025-0411"/>
    <x v="275"/>
    <s v="CUST-0082"/>
    <x v="115"/>
    <s v="Leeds"/>
    <x v="2"/>
    <x v="19"/>
    <x v="4"/>
    <n v="3"/>
    <n v="142.79"/>
    <n v="428.37"/>
    <n v="326.20999999999998"/>
    <n v="102.16"/>
    <x v="3"/>
    <x v="0"/>
  </r>
  <r>
    <s v="ORD-2025-0412"/>
    <x v="276"/>
    <s v="CUST-0118"/>
    <x v="26"/>
    <s v="Manchester"/>
    <x v="1"/>
    <x v="8"/>
    <x v="3"/>
    <n v="2"/>
    <n v="78.02"/>
    <n v="156.04"/>
    <n v="139.29"/>
    <n v="16.75"/>
    <x v="4"/>
    <x v="2"/>
  </r>
  <r>
    <s v="ORD-2025-0413"/>
    <x v="277"/>
    <s v="CUST-0002"/>
    <x v="3"/>
    <s v="Sheffield"/>
    <x v="2"/>
    <x v="0"/>
    <x v="0"/>
    <n v="2"/>
    <n v="26.15"/>
    <n v="52.3"/>
    <n v="32.58"/>
    <n v="19.72"/>
    <x v="4"/>
    <x v="2"/>
  </r>
  <r>
    <s v="ORD-2025-0414"/>
    <x v="278"/>
    <s v="CUST-0042"/>
    <x v="97"/>
    <s v="Sheffield"/>
    <x v="2"/>
    <x v="23"/>
    <x v="1"/>
    <n v="2"/>
    <n v="76.489999999999995"/>
    <n v="152.97999999999999"/>
    <n v="106.62"/>
    <n v="46.36"/>
    <x v="3"/>
    <x v="1"/>
  </r>
  <r>
    <s v="ORD-2025-0414"/>
    <x v="278"/>
    <s v="CUST-0042"/>
    <x v="97"/>
    <s v="Sheffield"/>
    <x v="2"/>
    <x v="12"/>
    <x v="0"/>
    <n v="1"/>
    <n v="18.399999999999999"/>
    <n v="18.399999999999999"/>
    <n v="9.76"/>
    <n v="8.64"/>
    <x v="3"/>
    <x v="1"/>
  </r>
  <r>
    <s v="ORD-2025-0414"/>
    <x v="278"/>
    <s v="CUST-0042"/>
    <x v="97"/>
    <s v="Sheffield"/>
    <x v="2"/>
    <x v="0"/>
    <x v="0"/>
    <n v="1"/>
    <n v="27.53"/>
    <n v="27.53"/>
    <n v="15.35"/>
    <n v="12.18"/>
    <x v="3"/>
    <x v="1"/>
  </r>
  <r>
    <s v="ORD-2025-0415"/>
    <x v="278"/>
    <s v="CUST-0100"/>
    <x v="64"/>
    <s v="Norwich"/>
    <x v="10"/>
    <x v="12"/>
    <x v="0"/>
    <n v="1"/>
    <n v="17.43"/>
    <n v="17.43"/>
    <n v="9.25"/>
    <n v="8.18"/>
    <x v="3"/>
    <x v="0"/>
  </r>
  <r>
    <s v="ORD-2025-0416"/>
    <x v="279"/>
    <s v="CUST-0045"/>
    <x v="127"/>
    <s v="Nottingham"/>
    <x v="5"/>
    <x v="11"/>
    <x v="4"/>
    <n v="1"/>
    <n v="96.89"/>
    <n v="96.89"/>
    <n v="77.17"/>
    <n v="19.72"/>
    <x v="6"/>
    <x v="1"/>
  </r>
  <r>
    <s v="ORD-2025-0416"/>
    <x v="279"/>
    <s v="CUST-0045"/>
    <x v="127"/>
    <s v="Nottingham"/>
    <x v="5"/>
    <x v="27"/>
    <x v="0"/>
    <n v="3"/>
    <n v="25.49"/>
    <n v="76.47"/>
    <n v="41.12"/>
    <n v="35.35"/>
    <x v="6"/>
    <x v="1"/>
  </r>
  <r>
    <s v="ORD-2025-0416"/>
    <x v="279"/>
    <s v="CUST-0045"/>
    <x v="127"/>
    <s v="Nottingham"/>
    <x v="5"/>
    <x v="15"/>
    <x v="4"/>
    <n v="1"/>
    <n v="40.79"/>
    <n v="40.79"/>
    <n v="24.37"/>
    <n v="16.420000000000002"/>
    <x v="6"/>
    <x v="1"/>
  </r>
  <r>
    <s v="ORD-2025-0417"/>
    <x v="280"/>
    <s v="CUST-0133"/>
    <x v="145"/>
    <s v="Sheffield"/>
    <x v="2"/>
    <x v="2"/>
    <x v="2"/>
    <n v="1"/>
    <n v="71.39"/>
    <n v="71.39"/>
    <n v="47.26"/>
    <n v="24.13"/>
    <x v="0"/>
    <x v="0"/>
  </r>
  <r>
    <s v="ORD-2025-0418"/>
    <x v="281"/>
    <s v="CUST-0009"/>
    <x v="34"/>
    <s v="Brighton"/>
    <x v="3"/>
    <x v="1"/>
    <x v="1"/>
    <n v="3"/>
    <n v="9.17"/>
    <n v="27.51"/>
    <n v="12.19"/>
    <n v="15.32"/>
    <x v="4"/>
    <x v="0"/>
  </r>
  <r>
    <s v="ORD-2025-0418"/>
    <x v="281"/>
    <s v="CUST-0009"/>
    <x v="34"/>
    <s v="Brighton"/>
    <x v="3"/>
    <x v="24"/>
    <x v="4"/>
    <n v="1"/>
    <n v="45.89"/>
    <n v="45.89"/>
    <n v="29.01"/>
    <n v="16.88"/>
    <x v="4"/>
    <x v="0"/>
  </r>
  <r>
    <s v="ORD-2025-0419"/>
    <x v="282"/>
    <s v="CUST-0075"/>
    <x v="65"/>
    <s v="Manchester"/>
    <x v="1"/>
    <x v="9"/>
    <x v="3"/>
    <n v="1"/>
    <n v="33.909999999999997"/>
    <n v="33.909999999999997"/>
    <n v="22.11"/>
    <n v="11.8"/>
    <x v="1"/>
    <x v="0"/>
  </r>
  <r>
    <s v="ORD-2025-0419"/>
    <x v="282"/>
    <s v="CUST-0075"/>
    <x v="65"/>
    <s v="Manchester"/>
    <x v="1"/>
    <x v="4"/>
    <x v="3"/>
    <n v="2"/>
    <n v="77.510000000000005"/>
    <n v="155.02000000000001"/>
    <n v="112.45"/>
    <n v="42.57"/>
    <x v="1"/>
    <x v="0"/>
  </r>
  <r>
    <s v="ORD-2025-0420"/>
    <x v="282"/>
    <s v="CUST-0080"/>
    <x v="80"/>
    <s v="Brighton"/>
    <x v="3"/>
    <x v="7"/>
    <x v="4"/>
    <n v="1"/>
    <n v="25.49"/>
    <n v="25.49"/>
    <n v="15.35"/>
    <n v="10.14"/>
    <x v="1"/>
    <x v="0"/>
  </r>
  <r>
    <s v="ORD-2025-0421"/>
    <x v="283"/>
    <s v="CUST-0047"/>
    <x v="5"/>
    <s v="London"/>
    <x v="0"/>
    <x v="25"/>
    <x v="1"/>
    <n v="1"/>
    <n v="203.99"/>
    <n v="203.99"/>
    <n v="166.53"/>
    <n v="37.46"/>
    <x v="1"/>
    <x v="1"/>
  </r>
  <r>
    <s v="ORD-2025-0421"/>
    <x v="283"/>
    <s v="CUST-0047"/>
    <x v="5"/>
    <s v="London"/>
    <x v="0"/>
    <x v="24"/>
    <x v="4"/>
    <n v="3"/>
    <n v="45.89"/>
    <n v="137.66999999999999"/>
    <n v="90.47"/>
    <n v="47.2"/>
    <x v="1"/>
    <x v="1"/>
  </r>
  <r>
    <s v="ORD-2025-0422"/>
    <x v="284"/>
    <s v="CUST-0008"/>
    <x v="25"/>
    <s v="Glasgow"/>
    <x v="6"/>
    <x v="13"/>
    <x v="2"/>
    <n v="3"/>
    <n v="25.69"/>
    <n v="77.069999999999993"/>
    <n v="47.6"/>
    <n v="29.47"/>
    <x v="4"/>
    <x v="2"/>
  </r>
  <r>
    <s v="ORD-2025-0423"/>
    <x v="285"/>
    <s v="CUST-0096"/>
    <x v="146"/>
    <s v="Norwich"/>
    <x v="10"/>
    <x v="1"/>
    <x v="1"/>
    <n v="1"/>
    <n v="8.25"/>
    <n v="8.25"/>
    <n v="4.22"/>
    <n v="4.03"/>
    <x v="4"/>
    <x v="1"/>
  </r>
  <r>
    <s v="ORD-2025-0424"/>
    <x v="286"/>
    <s v="CUST-0023"/>
    <x v="50"/>
    <s v="Cardiff"/>
    <x v="8"/>
    <x v="15"/>
    <x v="4"/>
    <n v="2"/>
    <n v="40.79"/>
    <n v="81.58"/>
    <n v="48.74"/>
    <n v="32.840000000000003"/>
    <x v="1"/>
    <x v="1"/>
  </r>
  <r>
    <s v="ORD-2025-0425"/>
    <x v="287"/>
    <s v="CUST-0003"/>
    <x v="45"/>
    <s v="Glasgow"/>
    <x v="6"/>
    <x v="20"/>
    <x v="1"/>
    <n v="1"/>
    <n v="6.93"/>
    <n v="6.93"/>
    <n v="4.2699999999999996"/>
    <n v="2.66"/>
    <x v="0"/>
    <x v="0"/>
  </r>
  <r>
    <s v="ORD-2025-0426"/>
    <x v="288"/>
    <s v="CUST-0158"/>
    <x v="59"/>
    <s v="Manchester"/>
    <x v="1"/>
    <x v="29"/>
    <x v="4"/>
    <n v="1"/>
    <n v="52.01"/>
    <n v="52.01"/>
    <n v="42.52"/>
    <n v="9.49"/>
    <x v="4"/>
    <x v="1"/>
  </r>
  <r>
    <s v="ORD-2025-0427"/>
    <x v="289"/>
    <s v="CUST-0024"/>
    <x v="147"/>
    <s v="Sheffield"/>
    <x v="2"/>
    <x v="15"/>
    <x v="4"/>
    <n v="2"/>
    <n v="40.79"/>
    <n v="81.58"/>
    <n v="48.74"/>
    <n v="32.840000000000003"/>
    <x v="4"/>
    <x v="1"/>
  </r>
  <r>
    <s v="ORD-2025-0427"/>
    <x v="289"/>
    <s v="CUST-0024"/>
    <x v="147"/>
    <s v="Sheffield"/>
    <x v="2"/>
    <x v="24"/>
    <x v="4"/>
    <n v="1"/>
    <n v="45.89"/>
    <n v="45.89"/>
    <n v="30.16"/>
    <n v="15.73"/>
    <x v="4"/>
    <x v="1"/>
  </r>
  <r>
    <s v="ORD-2025-0428"/>
    <x v="289"/>
    <s v="CUST-0097"/>
    <x v="122"/>
    <s v="Nottingham"/>
    <x v="5"/>
    <x v="11"/>
    <x v="4"/>
    <n v="3"/>
    <n v="96.89"/>
    <n v="290.67"/>
    <n v="231.51"/>
    <n v="59.16"/>
    <x v="1"/>
    <x v="1"/>
  </r>
  <r>
    <s v="ORD-2025-0429"/>
    <x v="290"/>
    <s v="CUST-0002"/>
    <x v="3"/>
    <s v="Sheffield"/>
    <x v="2"/>
    <x v="17"/>
    <x v="0"/>
    <n v="3"/>
    <n v="78.02"/>
    <n v="234.06"/>
    <n v="186.94"/>
    <n v="47.12"/>
    <x v="6"/>
    <x v="1"/>
  </r>
  <r>
    <s v="ORD-2025-0430"/>
    <x v="290"/>
    <s v="CUST-0040"/>
    <x v="112"/>
    <s v="Brighton"/>
    <x v="3"/>
    <x v="6"/>
    <x v="0"/>
    <n v="3"/>
    <n v="15.29"/>
    <n v="45.87"/>
    <n v="23.76"/>
    <n v="22.11"/>
    <x v="0"/>
    <x v="2"/>
  </r>
  <r>
    <s v="ORD-2025-0431"/>
    <x v="291"/>
    <s v="CUST-0008"/>
    <x v="25"/>
    <s v="Glasgow"/>
    <x v="6"/>
    <x v="26"/>
    <x v="3"/>
    <n v="2"/>
    <n v="106.58"/>
    <n v="213.16"/>
    <n v="163.55000000000001"/>
    <n v="49.61"/>
    <x v="0"/>
    <x v="0"/>
  </r>
  <r>
    <s v="ORD-2025-0432"/>
    <x v="291"/>
    <s v="CUST-0047"/>
    <x v="5"/>
    <s v="London"/>
    <x v="0"/>
    <x v="9"/>
    <x v="3"/>
    <n v="1"/>
    <n v="33.909999999999997"/>
    <n v="33.909999999999997"/>
    <n v="22.96"/>
    <n v="10.95"/>
    <x v="6"/>
    <x v="1"/>
  </r>
  <r>
    <s v="ORD-2025-0433"/>
    <x v="291"/>
    <s v="CUST-0092"/>
    <x v="60"/>
    <s v="London"/>
    <x v="0"/>
    <x v="5"/>
    <x v="1"/>
    <n v="1"/>
    <n v="11.92"/>
    <n v="11.92"/>
    <n v="6.19"/>
    <n v="5.73"/>
    <x v="1"/>
    <x v="0"/>
  </r>
  <r>
    <s v="ORD-2025-0434"/>
    <x v="292"/>
    <s v="CUST-0074"/>
    <x v="148"/>
    <s v="Manchester"/>
    <x v="1"/>
    <x v="1"/>
    <x v="1"/>
    <n v="3"/>
    <n v="9.17"/>
    <n v="27.51"/>
    <n v="12.19"/>
    <n v="15.32"/>
    <x v="1"/>
    <x v="0"/>
  </r>
  <r>
    <s v="ORD-2025-0435"/>
    <x v="292"/>
    <s v="CUST-0131"/>
    <x v="28"/>
    <s v="Liverpool"/>
    <x v="1"/>
    <x v="14"/>
    <x v="2"/>
    <n v="4"/>
    <n v="19.37"/>
    <n v="77.48"/>
    <n v="39.97"/>
    <n v="37.51"/>
    <x v="3"/>
    <x v="0"/>
  </r>
  <r>
    <s v="ORD-2025-0435"/>
    <x v="292"/>
    <s v="CUST-0131"/>
    <x v="28"/>
    <s v="Liverpool"/>
    <x v="1"/>
    <x v="6"/>
    <x v="0"/>
    <n v="1"/>
    <n v="15.29"/>
    <n v="15.29"/>
    <n v="6.93"/>
    <n v="8.36"/>
    <x v="3"/>
    <x v="0"/>
  </r>
  <r>
    <s v="ORD-2025-0436"/>
    <x v="293"/>
    <s v="CUST-0110"/>
    <x v="108"/>
    <s v="Cardiff"/>
    <x v="8"/>
    <x v="17"/>
    <x v="0"/>
    <n v="1"/>
    <n v="69.349999999999994"/>
    <n v="69.349999999999994"/>
    <n v="64.39"/>
    <n v="4.96"/>
    <x v="4"/>
    <x v="2"/>
  </r>
  <r>
    <s v="ORD-2025-0437"/>
    <x v="294"/>
    <s v="CUST-0105"/>
    <x v="143"/>
    <s v="Brighton"/>
    <x v="3"/>
    <x v="22"/>
    <x v="2"/>
    <n v="1"/>
    <n v="33.65"/>
    <n v="33.65"/>
    <n v="21.12"/>
    <n v="12.53"/>
    <x v="4"/>
    <x v="2"/>
  </r>
  <r>
    <s v="ORD-2025-0438"/>
    <x v="294"/>
    <s v="CUST-0119"/>
    <x v="121"/>
    <s v="Leeds"/>
    <x v="2"/>
    <x v="27"/>
    <x v="0"/>
    <n v="3"/>
    <n v="25.49"/>
    <n v="76.47"/>
    <n v="41.12"/>
    <n v="35.35"/>
    <x v="3"/>
    <x v="1"/>
  </r>
  <r>
    <s v="ORD-2025-0438"/>
    <x v="294"/>
    <s v="CUST-0119"/>
    <x v="121"/>
    <s v="Leeds"/>
    <x v="2"/>
    <x v="24"/>
    <x v="4"/>
    <n v="1"/>
    <n v="45.89"/>
    <n v="45.89"/>
    <n v="30.16"/>
    <n v="15.73"/>
    <x v="3"/>
    <x v="1"/>
  </r>
  <r>
    <s v="ORD-2025-0438"/>
    <x v="294"/>
    <s v="CUST-0119"/>
    <x v="121"/>
    <s v="Leeds"/>
    <x v="2"/>
    <x v="9"/>
    <x v="3"/>
    <n v="1"/>
    <n v="35.69"/>
    <n v="35.69"/>
    <n v="23.1"/>
    <n v="12.59"/>
    <x v="3"/>
    <x v="1"/>
  </r>
  <r>
    <s v="ORD-2025-0439"/>
    <x v="294"/>
    <s v="CUST-0166"/>
    <x v="149"/>
    <s v="Liverpool"/>
    <x v="1"/>
    <x v="2"/>
    <x v="2"/>
    <n v="3"/>
    <n v="67.819999999999993"/>
    <n v="203.46"/>
    <n v="146.28"/>
    <n v="57.18"/>
    <x v="4"/>
    <x v="1"/>
  </r>
  <r>
    <s v="ORD-2025-0439"/>
    <x v="294"/>
    <s v="CUST-0166"/>
    <x v="149"/>
    <s v="Liverpool"/>
    <x v="1"/>
    <x v="1"/>
    <x v="1"/>
    <n v="2"/>
    <n v="9.17"/>
    <n v="18.34"/>
    <n v="8.58"/>
    <n v="9.76"/>
    <x v="4"/>
    <x v="1"/>
  </r>
  <r>
    <s v="ORD-2025-0440"/>
    <x v="294"/>
    <s v="CUST-0173"/>
    <x v="29"/>
    <s v="Nottingham"/>
    <x v="5"/>
    <x v="21"/>
    <x v="1"/>
    <n v="1"/>
    <n v="110.15"/>
    <n v="110.15"/>
    <n v="90.09"/>
    <n v="20.059999999999999"/>
    <x v="0"/>
    <x v="0"/>
  </r>
  <r>
    <s v="ORD-2025-0441"/>
    <x v="295"/>
    <s v="CUST-0026"/>
    <x v="140"/>
    <s v="Liverpool"/>
    <x v="1"/>
    <x v="11"/>
    <x v="4"/>
    <n v="1"/>
    <n v="96.89"/>
    <n v="96.89"/>
    <n v="74.75"/>
    <n v="22.14"/>
    <x v="1"/>
    <x v="0"/>
  </r>
  <r>
    <s v="ORD-2025-0441"/>
    <x v="295"/>
    <s v="CUST-0026"/>
    <x v="140"/>
    <s v="Liverpool"/>
    <x v="1"/>
    <x v="16"/>
    <x v="3"/>
    <n v="1"/>
    <n v="173.39"/>
    <n v="173.39"/>
    <n v="138.94"/>
    <n v="34.450000000000003"/>
    <x v="1"/>
    <x v="0"/>
  </r>
  <r>
    <s v="ORD-2025-0442"/>
    <x v="295"/>
    <s v="CUST-0169"/>
    <x v="8"/>
    <s v="Belfast"/>
    <x v="4"/>
    <x v="24"/>
    <x v="4"/>
    <n v="1"/>
    <n v="43.6"/>
    <n v="43.6"/>
    <n v="31.72"/>
    <n v="11.88"/>
    <x v="0"/>
    <x v="2"/>
  </r>
  <r>
    <s v="ORD-2025-0443"/>
    <x v="296"/>
    <s v="CUST-0087"/>
    <x v="79"/>
    <s v="London"/>
    <x v="0"/>
    <x v="19"/>
    <x v="4"/>
    <n v="1"/>
    <n v="142.79"/>
    <n v="142.79"/>
    <n v="112.31"/>
    <n v="30.48"/>
    <x v="6"/>
    <x v="1"/>
  </r>
  <r>
    <s v="ORD-2025-0443"/>
    <x v="296"/>
    <s v="CUST-0087"/>
    <x v="79"/>
    <s v="London"/>
    <x v="0"/>
    <x v="24"/>
    <x v="4"/>
    <n v="1"/>
    <n v="43.6"/>
    <n v="43.6"/>
    <n v="29.97"/>
    <n v="13.63"/>
    <x v="6"/>
    <x v="1"/>
  </r>
  <r>
    <s v="ORD-2025-0444"/>
    <x v="296"/>
    <s v="CUST-0112"/>
    <x v="150"/>
    <s v="Birmingham"/>
    <x v="5"/>
    <x v="7"/>
    <x v="4"/>
    <n v="3"/>
    <n v="25.49"/>
    <n v="76.47"/>
    <n v="46.06"/>
    <n v="30.41"/>
    <x v="1"/>
    <x v="0"/>
  </r>
  <r>
    <s v="ORD-2025-0444"/>
    <x v="296"/>
    <s v="CUST-0112"/>
    <x v="150"/>
    <s v="Birmingham"/>
    <x v="5"/>
    <x v="11"/>
    <x v="4"/>
    <n v="1"/>
    <n v="96.89"/>
    <n v="96.89"/>
    <n v="74.75"/>
    <n v="22.14"/>
    <x v="1"/>
    <x v="0"/>
  </r>
  <r>
    <s v="ORD-2025-0445"/>
    <x v="297"/>
    <s v="CUST-0019"/>
    <x v="116"/>
    <s v="Sheffield"/>
    <x v="2"/>
    <x v="5"/>
    <x v="1"/>
    <n v="1"/>
    <n v="13.25"/>
    <n v="13.25"/>
    <n v="6.27"/>
    <n v="6.98"/>
    <x v="3"/>
    <x v="0"/>
  </r>
  <r>
    <s v="ORD-2025-0446"/>
    <x v="298"/>
    <s v="CUST-0060"/>
    <x v="120"/>
    <s v="Liverpool"/>
    <x v="1"/>
    <x v="7"/>
    <x v="4"/>
    <n v="1"/>
    <n v="25.49"/>
    <n v="25.49"/>
    <n v="15.35"/>
    <n v="10.14"/>
    <x v="1"/>
    <x v="0"/>
  </r>
  <r>
    <s v="ORD-2025-0446"/>
    <x v="298"/>
    <s v="CUST-0060"/>
    <x v="120"/>
    <s v="Liverpool"/>
    <x v="1"/>
    <x v="5"/>
    <x v="1"/>
    <n v="2"/>
    <n v="13.25"/>
    <n v="26.5"/>
    <n v="12.53"/>
    <n v="13.97"/>
    <x v="1"/>
    <x v="0"/>
  </r>
  <r>
    <s v="ORD-2025-0446"/>
    <x v="298"/>
    <s v="CUST-0060"/>
    <x v="120"/>
    <s v="Liverpool"/>
    <x v="1"/>
    <x v="17"/>
    <x v="0"/>
    <n v="1"/>
    <n v="69.349999999999994"/>
    <n v="69.349999999999994"/>
    <n v="59.89"/>
    <n v="9.4600000000000009"/>
    <x v="1"/>
    <x v="0"/>
  </r>
  <r>
    <s v="ORD-2025-0447"/>
    <x v="298"/>
    <s v="CUST-0099"/>
    <x v="101"/>
    <s v="Birmingham"/>
    <x v="5"/>
    <x v="2"/>
    <x v="2"/>
    <n v="2"/>
    <n v="71.39"/>
    <n v="142.78"/>
    <n v="94.52"/>
    <n v="48.26"/>
    <x v="1"/>
    <x v="0"/>
  </r>
  <r>
    <s v="ORD-2025-0448"/>
    <x v="299"/>
    <s v="CUST-0082"/>
    <x v="115"/>
    <s v="Leeds"/>
    <x v="2"/>
    <x v="20"/>
    <x v="1"/>
    <n v="2"/>
    <n v="7.74"/>
    <n v="15.48"/>
    <n v="8.64"/>
    <n v="6.84"/>
    <x v="4"/>
    <x v="0"/>
  </r>
  <r>
    <s v="ORD-2025-0448"/>
    <x v="299"/>
    <s v="CUST-0082"/>
    <x v="115"/>
    <s v="Leeds"/>
    <x v="2"/>
    <x v="5"/>
    <x v="1"/>
    <n v="1"/>
    <n v="12.59"/>
    <n v="12.59"/>
    <n v="6.23"/>
    <n v="6.36"/>
    <x v="4"/>
    <x v="0"/>
  </r>
  <r>
    <s v="ORD-2025-0449"/>
    <x v="300"/>
    <s v="CUST-0103"/>
    <x v="103"/>
    <s v="Newcastle"/>
    <x v="9"/>
    <x v="3"/>
    <x v="3"/>
    <n v="1"/>
    <n v="27.53"/>
    <n v="27.53"/>
    <n v="16.43"/>
    <n v="11.1"/>
    <x v="3"/>
    <x v="0"/>
  </r>
  <r>
    <s v="ORD-2025-0450"/>
    <x v="301"/>
    <s v="CUST-0013"/>
    <x v="19"/>
    <s v="Sheffield"/>
    <x v="2"/>
    <x v="26"/>
    <x v="3"/>
    <n v="2"/>
    <n v="106.58"/>
    <n v="213.16"/>
    <n v="177.41"/>
    <n v="35.75"/>
    <x v="4"/>
    <x v="2"/>
  </r>
  <r>
    <s v="ORD-2025-0450"/>
    <x v="301"/>
    <s v="CUST-0013"/>
    <x v="19"/>
    <s v="Sheffield"/>
    <x v="2"/>
    <x v="4"/>
    <x v="3"/>
    <n v="1"/>
    <n v="65.27"/>
    <n v="65.27"/>
    <n v="59.79"/>
    <n v="5.48"/>
    <x v="4"/>
    <x v="2"/>
  </r>
  <r>
    <s v="ORD-2025-0451"/>
    <x v="301"/>
    <s v="CUST-0015"/>
    <x v="30"/>
    <s v="London"/>
    <x v="0"/>
    <x v="14"/>
    <x v="2"/>
    <n v="2"/>
    <n v="20.39"/>
    <n v="40.78"/>
    <n v="20.100000000000001"/>
    <n v="20.68"/>
    <x v="0"/>
    <x v="0"/>
  </r>
  <r>
    <s v="ORD-2025-0452"/>
    <x v="302"/>
    <s v="CUST-0007"/>
    <x v="107"/>
    <s v="Southampton"/>
    <x v="3"/>
    <x v="18"/>
    <x v="2"/>
    <n v="2"/>
    <n v="45.89"/>
    <n v="91.78"/>
    <n v="56.66"/>
    <n v="35.119999999999997"/>
    <x v="1"/>
    <x v="1"/>
  </r>
  <r>
    <s v="ORD-2025-0453"/>
    <x v="302"/>
    <s v="CUST-0083"/>
    <x v="151"/>
    <s v="Manchester"/>
    <x v="1"/>
    <x v="15"/>
    <x v="4"/>
    <n v="3"/>
    <n v="40.79"/>
    <n v="122.37"/>
    <n v="71.27"/>
    <n v="51.1"/>
    <x v="4"/>
    <x v="3"/>
  </r>
  <r>
    <s v="ORD-2025-0454"/>
    <x v="303"/>
    <s v="CUST-0042"/>
    <x v="97"/>
    <s v="Sheffield"/>
    <x v="2"/>
    <x v="27"/>
    <x v="0"/>
    <n v="4"/>
    <n v="24.22"/>
    <n v="96.88"/>
    <n v="58.3"/>
    <n v="38.58"/>
    <x v="0"/>
    <x v="2"/>
  </r>
  <r>
    <s v="ORD-2025-0454"/>
    <x v="303"/>
    <s v="CUST-0042"/>
    <x v="97"/>
    <s v="Sheffield"/>
    <x v="2"/>
    <x v="6"/>
    <x v="0"/>
    <n v="4"/>
    <n v="13.76"/>
    <n v="55.04"/>
    <n v="30.95"/>
    <n v="24.09"/>
    <x v="0"/>
    <x v="2"/>
  </r>
  <r>
    <s v="ORD-2025-0455"/>
    <x v="304"/>
    <s v="CUST-0045"/>
    <x v="127"/>
    <s v="Nottingham"/>
    <x v="5"/>
    <x v="7"/>
    <x v="4"/>
    <n v="1"/>
    <n v="25.49"/>
    <n v="25.49"/>
    <n v="15.35"/>
    <n v="10.14"/>
    <x v="1"/>
    <x v="0"/>
  </r>
  <r>
    <s v="ORD-2025-0456"/>
    <x v="304"/>
    <s v="CUST-0082"/>
    <x v="115"/>
    <s v="Leeds"/>
    <x v="2"/>
    <x v="1"/>
    <x v="1"/>
    <n v="2"/>
    <n v="9.17"/>
    <n v="18.34"/>
    <n v="8.1300000000000008"/>
    <n v="10.210000000000001"/>
    <x v="0"/>
    <x v="0"/>
  </r>
  <r>
    <s v="ORD-2025-0457"/>
    <x v="305"/>
    <s v="CUST-0018"/>
    <x v="90"/>
    <s v="Leeds"/>
    <x v="2"/>
    <x v="22"/>
    <x v="2"/>
    <n v="3"/>
    <n v="31.97"/>
    <n v="95.91"/>
    <n v="56.51"/>
    <n v="39.4"/>
    <x v="0"/>
    <x v="0"/>
  </r>
  <r>
    <s v="ORD-2025-0458"/>
    <x v="306"/>
    <s v="CUST-0002"/>
    <x v="3"/>
    <s v="Sheffield"/>
    <x v="2"/>
    <x v="20"/>
    <x v="1"/>
    <n v="1"/>
    <n v="8.15"/>
    <n v="8.15"/>
    <n v="4.34"/>
    <n v="3.81"/>
    <x v="1"/>
    <x v="0"/>
  </r>
  <r>
    <s v="ORD-2025-0458"/>
    <x v="306"/>
    <s v="CUST-0002"/>
    <x v="3"/>
    <s v="Sheffield"/>
    <x v="2"/>
    <x v="16"/>
    <x v="3"/>
    <n v="2"/>
    <n v="173.39"/>
    <n v="346.78"/>
    <n v="277.88"/>
    <n v="68.900000000000006"/>
    <x v="1"/>
    <x v="0"/>
  </r>
  <r>
    <s v="ORD-2025-0459"/>
    <x v="307"/>
    <s v="CUST-0005"/>
    <x v="1"/>
    <s v="Liverpool"/>
    <x v="1"/>
    <x v="2"/>
    <x v="2"/>
    <n v="4"/>
    <n v="64.25"/>
    <n v="257"/>
    <n v="193.9"/>
    <n v="63.1"/>
    <x v="4"/>
    <x v="1"/>
  </r>
  <r>
    <s v="ORD-2025-0460"/>
    <x v="308"/>
    <s v="CUST-0002"/>
    <x v="3"/>
    <s v="Sheffield"/>
    <x v="2"/>
    <x v="20"/>
    <x v="1"/>
    <n v="1"/>
    <n v="7.74"/>
    <n v="7.74"/>
    <n v="4.32"/>
    <n v="3.42"/>
    <x v="1"/>
    <x v="0"/>
  </r>
  <r>
    <s v="ORD-2025-0460"/>
    <x v="308"/>
    <s v="CUST-0002"/>
    <x v="3"/>
    <s v="Sheffield"/>
    <x v="2"/>
    <x v="13"/>
    <x v="2"/>
    <n v="6"/>
    <n v="28.55"/>
    <n v="171.3"/>
    <n v="86.13"/>
    <n v="85.17"/>
    <x v="1"/>
    <x v="0"/>
  </r>
  <r>
    <s v="ORD-2025-0461"/>
    <x v="308"/>
    <s v="CUST-0094"/>
    <x v="152"/>
    <s v="Exeter"/>
    <x v="7"/>
    <x v="6"/>
    <x v="0"/>
    <n v="1"/>
    <n v="15.29"/>
    <n v="15.29"/>
    <n v="6.93"/>
    <n v="8.36"/>
    <x v="1"/>
    <x v="0"/>
  </r>
  <r>
    <s v="ORD-2025-0461"/>
    <x v="308"/>
    <s v="CUST-0094"/>
    <x v="152"/>
    <s v="Exeter"/>
    <x v="7"/>
    <x v="23"/>
    <x v="1"/>
    <n v="1"/>
    <n v="76.489999999999995"/>
    <n v="76.489999999999995"/>
    <n v="51.4"/>
    <n v="25.09"/>
    <x v="1"/>
    <x v="0"/>
  </r>
  <r>
    <s v="ORD-2025-0461"/>
    <x v="308"/>
    <s v="CUST-0094"/>
    <x v="152"/>
    <s v="Exeter"/>
    <x v="7"/>
    <x v="14"/>
    <x v="2"/>
    <n v="1"/>
    <n v="20.39"/>
    <n v="20.39"/>
    <n v="10.050000000000001"/>
    <n v="10.34"/>
    <x v="1"/>
    <x v="0"/>
  </r>
  <r>
    <s v="ORD-2025-0462"/>
    <x v="309"/>
    <s v="CUST-0020"/>
    <x v="38"/>
    <s v="Manchester"/>
    <x v="1"/>
    <x v="2"/>
    <x v="2"/>
    <n v="3"/>
    <n v="67.819999999999993"/>
    <n v="203.46"/>
    <n v="146.28"/>
    <n v="57.18"/>
    <x v="4"/>
    <x v="1"/>
  </r>
  <r>
    <s v="ORD-2025-0462"/>
    <x v="309"/>
    <s v="CUST-0020"/>
    <x v="38"/>
    <s v="Manchester"/>
    <x v="1"/>
    <x v="7"/>
    <x v="4"/>
    <n v="2"/>
    <n v="25.49"/>
    <n v="50.98"/>
    <n v="31.98"/>
    <n v="19"/>
    <x v="4"/>
    <x v="1"/>
  </r>
  <r>
    <s v="ORD-2025-0463"/>
    <x v="310"/>
    <s v="CUST-0133"/>
    <x v="145"/>
    <s v="Sheffield"/>
    <x v="2"/>
    <x v="28"/>
    <x v="4"/>
    <n v="2"/>
    <n v="56.09"/>
    <n v="112.18"/>
    <n v="73.150000000000006"/>
    <n v="39.03"/>
    <x v="0"/>
    <x v="0"/>
  </r>
  <r>
    <s v="ORD-2025-0463"/>
    <x v="310"/>
    <s v="CUST-0133"/>
    <x v="145"/>
    <s v="Sheffield"/>
    <x v="2"/>
    <x v="24"/>
    <x v="4"/>
    <n v="3"/>
    <n v="45.89"/>
    <n v="137.66999999999999"/>
    <n v="87.03"/>
    <n v="50.64"/>
    <x v="0"/>
    <x v="0"/>
  </r>
  <r>
    <s v="ORD-2025-0463"/>
    <x v="310"/>
    <s v="CUST-0133"/>
    <x v="145"/>
    <s v="Sheffield"/>
    <x v="2"/>
    <x v="13"/>
    <x v="2"/>
    <n v="1"/>
    <n v="28.55"/>
    <n v="28.55"/>
    <n v="14.35"/>
    <n v="14.2"/>
    <x v="0"/>
    <x v="0"/>
  </r>
  <r>
    <s v="ORD-2025-0464"/>
    <x v="311"/>
    <s v="CUST-0068"/>
    <x v="153"/>
    <s v="Southampton"/>
    <x v="3"/>
    <x v="8"/>
    <x v="3"/>
    <n v="1"/>
    <n v="87.2"/>
    <n v="87.2"/>
    <n v="67.260000000000005"/>
    <n v="19.940000000000001"/>
    <x v="3"/>
    <x v="1"/>
  </r>
  <r>
    <s v="ORD-2025-0465"/>
    <x v="311"/>
    <s v="CUST-0150"/>
    <x v="77"/>
    <s v="Newcastle"/>
    <x v="9"/>
    <x v="2"/>
    <x v="2"/>
    <n v="3"/>
    <n v="64.25"/>
    <n v="192.75"/>
    <n v="140.6"/>
    <n v="52.15"/>
    <x v="4"/>
    <x v="0"/>
  </r>
  <r>
    <s v="ORD-2025-0465"/>
    <x v="311"/>
    <s v="CUST-0150"/>
    <x v="77"/>
    <s v="Newcastle"/>
    <x v="9"/>
    <x v="10"/>
    <x v="4"/>
    <n v="1"/>
    <n v="71.39"/>
    <n v="71.39"/>
    <n v="47.26"/>
    <n v="24.13"/>
    <x v="4"/>
    <x v="0"/>
  </r>
  <r>
    <s v="ORD-2025-0465"/>
    <x v="311"/>
    <s v="CUST-0150"/>
    <x v="77"/>
    <s v="Newcastle"/>
    <x v="9"/>
    <x v="26"/>
    <x v="3"/>
    <n v="1"/>
    <n v="112.19"/>
    <n v="112.19"/>
    <n v="82.09"/>
    <n v="30.1"/>
    <x v="4"/>
    <x v="0"/>
  </r>
  <r>
    <s v="ORD-2025-0466"/>
    <x v="312"/>
    <s v="CUST-0008"/>
    <x v="25"/>
    <s v="Glasgow"/>
    <x v="6"/>
    <x v="29"/>
    <x v="4"/>
    <n v="1"/>
    <n v="61.19"/>
    <n v="61.19"/>
    <n v="41.73"/>
    <n v="19.46"/>
    <x v="3"/>
    <x v="0"/>
  </r>
  <r>
    <s v="ORD-2025-0466"/>
    <x v="312"/>
    <s v="CUST-0008"/>
    <x v="25"/>
    <s v="Glasgow"/>
    <x v="6"/>
    <x v="22"/>
    <x v="2"/>
    <n v="2"/>
    <n v="33.65"/>
    <n v="67.3"/>
    <n v="37.86"/>
    <n v="29.44"/>
    <x v="3"/>
    <x v="0"/>
  </r>
  <r>
    <s v="ORD-2025-0467"/>
    <x v="313"/>
    <s v="CUST-0003"/>
    <x v="45"/>
    <s v="Glasgow"/>
    <x v="6"/>
    <x v="12"/>
    <x v="0"/>
    <n v="2"/>
    <n v="19.37"/>
    <n v="38.74"/>
    <n v="18.71"/>
    <n v="20.03"/>
    <x v="1"/>
    <x v="0"/>
  </r>
  <r>
    <s v="ORD-2025-0467"/>
    <x v="313"/>
    <s v="CUST-0003"/>
    <x v="45"/>
    <s v="Glasgow"/>
    <x v="6"/>
    <x v="28"/>
    <x v="4"/>
    <n v="1"/>
    <n v="53.29"/>
    <n v="53.29"/>
    <n v="36.42"/>
    <n v="16.87"/>
    <x v="1"/>
    <x v="0"/>
  </r>
  <r>
    <s v="ORD-2025-0467"/>
    <x v="313"/>
    <s v="CUST-0003"/>
    <x v="45"/>
    <s v="Glasgow"/>
    <x v="6"/>
    <x v="1"/>
    <x v="1"/>
    <n v="2"/>
    <n v="9.17"/>
    <n v="18.34"/>
    <n v="8.1300000000000008"/>
    <n v="10.210000000000001"/>
    <x v="1"/>
    <x v="0"/>
  </r>
  <r>
    <s v="ORD-2025-0468"/>
    <x v="313"/>
    <s v="CUST-0011"/>
    <x v="9"/>
    <s v="Liverpool"/>
    <x v="1"/>
    <x v="25"/>
    <x v="1"/>
    <n v="1"/>
    <n v="203.99"/>
    <n v="203.99"/>
    <n v="161.43"/>
    <n v="42.56"/>
    <x v="3"/>
    <x v="0"/>
  </r>
  <r>
    <s v="ORD-2025-0469"/>
    <x v="313"/>
    <s v="CUST-0156"/>
    <x v="109"/>
    <s v="Brighton"/>
    <x v="3"/>
    <x v="13"/>
    <x v="2"/>
    <n v="3"/>
    <n v="25.69"/>
    <n v="77.069999999999993"/>
    <n v="42.59"/>
    <n v="34.479999999999997"/>
    <x v="0"/>
    <x v="0"/>
  </r>
  <r>
    <s v="ORD-2025-0469"/>
    <x v="313"/>
    <s v="CUST-0156"/>
    <x v="109"/>
    <s v="Brighton"/>
    <x v="3"/>
    <x v="8"/>
    <x v="3"/>
    <n v="1"/>
    <n v="82.61"/>
    <n v="82.61"/>
    <n v="64.83"/>
    <n v="17.78"/>
    <x v="0"/>
    <x v="0"/>
  </r>
  <r>
    <s v="ORD-2025-0470"/>
    <x v="314"/>
    <s v="CUST-0011"/>
    <x v="9"/>
    <s v="Liverpool"/>
    <x v="1"/>
    <x v="16"/>
    <x v="3"/>
    <n v="2"/>
    <n v="164.72"/>
    <n v="329.44"/>
    <n v="280.22000000000003"/>
    <n v="49.22"/>
    <x v="1"/>
    <x v="3"/>
  </r>
  <r>
    <s v="ORD-2025-0470"/>
    <x v="314"/>
    <s v="CUST-0011"/>
    <x v="9"/>
    <s v="Liverpool"/>
    <x v="1"/>
    <x v="12"/>
    <x v="0"/>
    <n v="2"/>
    <n v="18.399999999999999"/>
    <n v="36.799999999999997"/>
    <n v="18.97"/>
    <n v="17.829999999999998"/>
    <x v="1"/>
    <x v="3"/>
  </r>
  <r>
    <s v="ORD-2025-0471"/>
    <x v="315"/>
    <s v="CUST-0026"/>
    <x v="140"/>
    <s v="Liverpool"/>
    <x v="1"/>
    <x v="19"/>
    <x v="4"/>
    <n v="2"/>
    <n v="142.79"/>
    <n v="285.58"/>
    <n v="217.47"/>
    <n v="68.11"/>
    <x v="3"/>
    <x v="0"/>
  </r>
  <r>
    <s v="ORD-2025-0472"/>
    <x v="316"/>
    <s v="CUST-0164"/>
    <x v="47"/>
    <s v="Brighton"/>
    <x v="3"/>
    <x v="5"/>
    <x v="1"/>
    <n v="1"/>
    <n v="13.25"/>
    <n v="13.25"/>
    <n v="6.27"/>
    <n v="6.98"/>
    <x v="0"/>
    <x v="0"/>
  </r>
  <r>
    <s v="ORD-2025-0472"/>
    <x v="316"/>
    <s v="CUST-0164"/>
    <x v="47"/>
    <s v="Brighton"/>
    <x v="3"/>
    <x v="26"/>
    <x v="3"/>
    <n v="2"/>
    <n v="106.58"/>
    <n v="213.16"/>
    <n v="163.55000000000001"/>
    <n v="49.61"/>
    <x v="0"/>
    <x v="0"/>
  </r>
  <r>
    <s v="ORD-2025-0473"/>
    <x v="317"/>
    <s v="CUST-0025"/>
    <x v="81"/>
    <s v="Norwich"/>
    <x v="10"/>
    <x v="7"/>
    <x v="4"/>
    <n v="1"/>
    <n v="25.49"/>
    <n v="25.49"/>
    <n v="15.35"/>
    <n v="10.14"/>
    <x v="1"/>
    <x v="0"/>
  </r>
  <r>
    <s v="ORD-2025-0474"/>
    <x v="318"/>
    <s v="CUST-0014"/>
    <x v="49"/>
    <s v="Cardiff"/>
    <x v="8"/>
    <x v="18"/>
    <x v="2"/>
    <n v="1"/>
    <n v="45.89"/>
    <n v="45.89"/>
    <n v="30.17"/>
    <n v="15.72"/>
    <x v="0"/>
    <x v="2"/>
  </r>
  <r>
    <s v="ORD-2025-0474"/>
    <x v="318"/>
    <s v="CUST-0014"/>
    <x v="49"/>
    <s v="Cardiff"/>
    <x v="8"/>
    <x v="1"/>
    <x v="1"/>
    <n v="1"/>
    <n v="9.17"/>
    <n v="9.17"/>
    <n v="4.66"/>
    <n v="4.51"/>
    <x v="0"/>
    <x v="2"/>
  </r>
  <r>
    <s v="ORD-2025-0474"/>
    <x v="318"/>
    <s v="CUST-0014"/>
    <x v="49"/>
    <s v="Cardiff"/>
    <x v="8"/>
    <x v="22"/>
    <x v="2"/>
    <n v="2"/>
    <n v="33.65"/>
    <n v="67.3"/>
    <n v="42.23"/>
    <n v="25.07"/>
    <x v="0"/>
    <x v="2"/>
  </r>
  <r>
    <s v="ORD-2025-0475"/>
    <x v="318"/>
    <s v="CUST-0047"/>
    <x v="5"/>
    <s v="London"/>
    <x v="0"/>
    <x v="14"/>
    <x v="2"/>
    <n v="2"/>
    <n v="18.350000000000001"/>
    <n v="36.700000000000003"/>
    <n v="20.79"/>
    <n v="15.91"/>
    <x v="1"/>
    <x v="1"/>
  </r>
  <r>
    <s v="ORD-2025-0476"/>
    <x v="319"/>
    <s v="CUST-0120"/>
    <x v="36"/>
    <s v="Edinburgh"/>
    <x v="6"/>
    <x v="0"/>
    <x v="0"/>
    <n v="1"/>
    <n v="27.53"/>
    <n v="27.53"/>
    <n v="16.45"/>
    <n v="11.08"/>
    <x v="1"/>
    <x v="2"/>
  </r>
  <r>
    <s v="ORD-2025-0477"/>
    <x v="319"/>
    <s v="CUST-0144"/>
    <x v="27"/>
    <s v="Nottingham"/>
    <x v="5"/>
    <x v="10"/>
    <x v="4"/>
    <n v="1"/>
    <n v="71.39"/>
    <n v="71.39"/>
    <n v="47.26"/>
    <n v="24.13"/>
    <x v="1"/>
    <x v="0"/>
  </r>
  <r>
    <s v="ORD-2025-0478"/>
    <x v="320"/>
    <s v="CUST-0136"/>
    <x v="86"/>
    <s v="Nottingham"/>
    <x v="5"/>
    <x v="20"/>
    <x v="1"/>
    <n v="4"/>
    <n v="8.15"/>
    <n v="32.6"/>
    <n v="18.18"/>
    <n v="14.42"/>
    <x v="6"/>
    <x v="1"/>
  </r>
  <r>
    <s v="ORD-2025-0478"/>
    <x v="320"/>
    <s v="CUST-0136"/>
    <x v="86"/>
    <s v="Nottingham"/>
    <x v="5"/>
    <x v="19"/>
    <x v="4"/>
    <n v="1"/>
    <n v="135.65"/>
    <n v="135.65"/>
    <n v="111.74"/>
    <n v="23.91"/>
    <x v="6"/>
    <x v="1"/>
  </r>
  <r>
    <s v="ORD-2025-0479"/>
    <x v="321"/>
    <s v="CUST-0004"/>
    <x v="69"/>
    <s v="Leeds"/>
    <x v="2"/>
    <x v="29"/>
    <x v="4"/>
    <n v="4"/>
    <n v="61.19"/>
    <n v="244.76"/>
    <n v="166.9"/>
    <n v="77.86"/>
    <x v="1"/>
    <x v="0"/>
  </r>
  <r>
    <s v="ORD-2025-0480"/>
    <x v="322"/>
    <s v="CUST-0026"/>
    <x v="140"/>
    <s v="Liverpool"/>
    <x v="1"/>
    <x v="0"/>
    <x v="0"/>
    <n v="3"/>
    <n v="27.53"/>
    <n v="82.59"/>
    <n v="49.36"/>
    <n v="33.229999999999997"/>
    <x v="1"/>
    <x v="2"/>
  </r>
  <r>
    <s v="ORD-2025-0481"/>
    <x v="323"/>
    <s v="CUST-0020"/>
    <x v="38"/>
    <s v="Manchester"/>
    <x v="1"/>
    <x v="0"/>
    <x v="0"/>
    <n v="1"/>
    <n v="24.78"/>
    <n v="24.78"/>
    <n v="15.13"/>
    <n v="9.65"/>
    <x v="1"/>
    <x v="1"/>
  </r>
  <r>
    <s v="ORD-2025-0481"/>
    <x v="323"/>
    <s v="CUST-0020"/>
    <x v="38"/>
    <s v="Manchester"/>
    <x v="1"/>
    <x v="22"/>
    <x v="2"/>
    <n v="3"/>
    <n v="33.65"/>
    <n v="100.95"/>
    <n v="59.31"/>
    <n v="41.64"/>
    <x v="1"/>
    <x v="1"/>
  </r>
  <r>
    <s v="ORD-2025-0482"/>
    <x v="324"/>
    <s v="CUST-0027"/>
    <x v="14"/>
    <s v="Sheffield"/>
    <x v="2"/>
    <x v="24"/>
    <x v="4"/>
    <n v="1"/>
    <n v="43.6"/>
    <n v="43.6"/>
    <n v="29.32"/>
    <n v="14.28"/>
    <x v="4"/>
    <x v="3"/>
  </r>
  <r>
    <s v="ORD-2025-0482"/>
    <x v="324"/>
    <s v="CUST-0027"/>
    <x v="14"/>
    <s v="Sheffield"/>
    <x v="2"/>
    <x v="13"/>
    <x v="2"/>
    <n v="1"/>
    <n v="28.55"/>
    <n v="28.55"/>
    <n v="14.64"/>
    <n v="13.91"/>
    <x v="4"/>
    <x v="3"/>
  </r>
  <r>
    <s v="ORD-2025-0483"/>
    <x v="325"/>
    <s v="CUST-0001"/>
    <x v="21"/>
    <s v="Bristol"/>
    <x v="7"/>
    <x v="13"/>
    <x v="2"/>
    <n v="1"/>
    <n v="28.55"/>
    <n v="28.55"/>
    <n v="16.21"/>
    <n v="12.34"/>
    <x v="1"/>
    <x v="2"/>
  </r>
  <r>
    <s v="ORD-2025-0484"/>
    <x v="326"/>
    <s v="CUST-0011"/>
    <x v="9"/>
    <s v="Liverpool"/>
    <x v="1"/>
    <x v="7"/>
    <x v="4"/>
    <n v="3"/>
    <n v="24.22"/>
    <n v="72.66"/>
    <n v="45.85"/>
    <n v="26.81"/>
    <x v="2"/>
    <x v="0"/>
  </r>
  <r>
    <s v="ORD-2025-0485"/>
    <x v="326"/>
    <s v="CUST-0075"/>
    <x v="65"/>
    <s v="Manchester"/>
    <x v="1"/>
    <x v="12"/>
    <x v="0"/>
    <n v="1"/>
    <n v="18.399999999999999"/>
    <n v="18.399999999999999"/>
    <n v="9.3000000000000007"/>
    <n v="9.1"/>
    <x v="0"/>
    <x v="0"/>
  </r>
  <r>
    <s v="ORD-2025-0486"/>
    <x v="327"/>
    <s v="CUST-0013"/>
    <x v="19"/>
    <s v="Sheffield"/>
    <x v="2"/>
    <x v="15"/>
    <x v="4"/>
    <n v="3"/>
    <n v="40.79"/>
    <n v="122.37"/>
    <n v="71.27"/>
    <n v="51.1"/>
    <x v="4"/>
    <x v="3"/>
  </r>
  <r>
    <s v="ORD-2025-0486"/>
    <x v="327"/>
    <s v="CUST-0013"/>
    <x v="19"/>
    <s v="Sheffield"/>
    <x v="2"/>
    <x v="0"/>
    <x v="0"/>
    <n v="6"/>
    <n v="24.78"/>
    <n v="148.68"/>
    <n v="88.56"/>
    <n v="60.12"/>
    <x v="4"/>
    <x v="3"/>
  </r>
  <r>
    <s v="ORD-2025-0487"/>
    <x v="327"/>
    <s v="CUST-0080"/>
    <x v="80"/>
    <s v="Brighton"/>
    <x v="3"/>
    <x v="1"/>
    <x v="1"/>
    <n v="2"/>
    <n v="8.7100000000000009"/>
    <n v="17.420000000000002"/>
    <n v="8.08"/>
    <n v="9.34"/>
    <x v="4"/>
    <x v="0"/>
  </r>
  <r>
    <s v="ORD-2025-0487"/>
    <x v="327"/>
    <s v="CUST-0080"/>
    <x v="80"/>
    <s v="Brighton"/>
    <x v="3"/>
    <x v="3"/>
    <x v="3"/>
    <n v="1"/>
    <n v="29.06"/>
    <n v="29.06"/>
    <n v="16.510000000000002"/>
    <n v="12.55"/>
    <x v="4"/>
    <x v="0"/>
  </r>
  <r>
    <s v="ORD-2025-0488"/>
    <x v="328"/>
    <s v="CUST-0002"/>
    <x v="3"/>
    <s v="Sheffield"/>
    <x v="2"/>
    <x v="3"/>
    <x v="3"/>
    <n v="1"/>
    <n v="30.59"/>
    <n v="30.59"/>
    <n v="18.59"/>
    <n v="12"/>
    <x v="0"/>
    <x v="2"/>
  </r>
  <r>
    <s v="ORD-2025-0489"/>
    <x v="328"/>
    <s v="CUST-0180"/>
    <x v="114"/>
    <s v="Leeds"/>
    <x v="2"/>
    <x v="20"/>
    <x v="1"/>
    <n v="3"/>
    <n v="7.74"/>
    <n v="23.22"/>
    <n v="12.96"/>
    <n v="10.26"/>
    <x v="0"/>
    <x v="0"/>
  </r>
  <r>
    <s v="ORD-2025-0490"/>
    <x v="329"/>
    <s v="CUST-0008"/>
    <x v="25"/>
    <s v="Glasgow"/>
    <x v="6"/>
    <x v="6"/>
    <x v="0"/>
    <n v="2"/>
    <n v="13.76"/>
    <n v="27.52"/>
    <n v="13.69"/>
    <n v="13.83"/>
    <x v="3"/>
    <x v="0"/>
  </r>
  <r>
    <s v="ORD-2025-0491"/>
    <x v="329"/>
    <s v="CUST-0112"/>
    <x v="150"/>
    <s v="Birmingham"/>
    <x v="5"/>
    <x v="7"/>
    <x v="4"/>
    <n v="1"/>
    <n v="25.49"/>
    <n v="25.49"/>
    <n v="15.99"/>
    <n v="9.5"/>
    <x v="1"/>
    <x v="1"/>
  </r>
  <r>
    <s v="ORD-2025-0492"/>
    <x v="329"/>
    <s v="CUST-0165"/>
    <x v="154"/>
    <s v="London"/>
    <x v="0"/>
    <x v="17"/>
    <x v="0"/>
    <n v="2"/>
    <n v="86.69"/>
    <n v="173.38"/>
    <n v="126.01"/>
    <n v="47.37"/>
    <x v="1"/>
    <x v="1"/>
  </r>
  <r>
    <s v="ORD-2025-0493"/>
    <x v="330"/>
    <s v="CUST-0012"/>
    <x v="41"/>
    <s v="Manchester"/>
    <x v="1"/>
    <x v="27"/>
    <x v="0"/>
    <n v="1"/>
    <n v="21.67"/>
    <n v="21.67"/>
    <n v="13.08"/>
    <n v="8.59"/>
    <x v="4"/>
    <x v="3"/>
  </r>
  <r>
    <s v="ORD-2025-0493"/>
    <x v="330"/>
    <s v="CUST-0012"/>
    <x v="41"/>
    <s v="Manchester"/>
    <x v="1"/>
    <x v="26"/>
    <x v="3"/>
    <n v="1"/>
    <n v="112.19"/>
    <n v="112.19"/>
    <n v="83.21"/>
    <n v="28.98"/>
    <x v="4"/>
    <x v="3"/>
  </r>
  <r>
    <s v="ORD-2025-0494"/>
    <x v="331"/>
    <s v="CUST-0008"/>
    <x v="25"/>
    <s v="Glasgow"/>
    <x v="6"/>
    <x v="20"/>
    <x v="1"/>
    <n v="1"/>
    <n v="7.74"/>
    <n v="7.74"/>
    <n v="4.32"/>
    <n v="3.42"/>
    <x v="3"/>
    <x v="0"/>
  </r>
  <r>
    <s v="ORD-2025-0495"/>
    <x v="332"/>
    <s v="CUST-0038"/>
    <x v="155"/>
    <s v="Manchester"/>
    <x v="1"/>
    <x v="17"/>
    <x v="0"/>
    <n v="2"/>
    <n v="86.69"/>
    <n v="173.38"/>
    <n v="121.68"/>
    <n v="51.7"/>
    <x v="4"/>
    <x v="0"/>
  </r>
  <r>
    <s v="ORD-2025-0495"/>
    <x v="332"/>
    <s v="CUST-0038"/>
    <x v="155"/>
    <s v="Manchester"/>
    <x v="1"/>
    <x v="27"/>
    <x v="0"/>
    <n v="2"/>
    <n v="25.49"/>
    <n v="50.98"/>
    <n v="26.14"/>
    <n v="24.84"/>
    <x v="4"/>
    <x v="0"/>
  </r>
  <r>
    <s v="ORD-2025-0496"/>
    <x v="332"/>
    <s v="CUST-0049"/>
    <x v="55"/>
    <s v="Cambridge"/>
    <x v="10"/>
    <x v="1"/>
    <x v="1"/>
    <n v="2"/>
    <n v="9.17"/>
    <n v="18.34"/>
    <n v="8.31"/>
    <n v="10.029999999999999"/>
    <x v="4"/>
    <x v="3"/>
  </r>
  <r>
    <s v="ORD-2025-0497"/>
    <x v="332"/>
    <s v="CUST-0118"/>
    <x v="26"/>
    <s v="Manchester"/>
    <x v="1"/>
    <x v="3"/>
    <x v="3"/>
    <n v="3"/>
    <n v="27.53"/>
    <n v="82.59"/>
    <n v="51.35"/>
    <n v="31.24"/>
    <x v="3"/>
    <x v="1"/>
  </r>
  <r>
    <s v="ORD-2025-0498"/>
    <x v="333"/>
    <s v="CUST-0029"/>
    <x v="17"/>
    <s v="Bristol"/>
    <x v="7"/>
    <x v="22"/>
    <x v="2"/>
    <n v="2"/>
    <n v="33.65"/>
    <n v="67.3"/>
    <n v="42.23"/>
    <n v="25.07"/>
    <x v="1"/>
    <x v="2"/>
  </r>
  <r>
    <s v="ORD-2025-0499"/>
    <x v="334"/>
    <s v="CUST-0083"/>
    <x v="151"/>
    <s v="Manchester"/>
    <x v="1"/>
    <x v="7"/>
    <x v="4"/>
    <n v="1"/>
    <n v="25.49"/>
    <n v="25.49"/>
    <n v="15.99"/>
    <n v="9.5"/>
    <x v="4"/>
    <x v="1"/>
  </r>
  <r>
    <s v="ORD-2025-0499"/>
    <x v="334"/>
    <s v="CUST-0083"/>
    <x v="151"/>
    <s v="Manchester"/>
    <x v="1"/>
    <x v="20"/>
    <x v="1"/>
    <n v="2"/>
    <n v="8.15"/>
    <n v="16.3"/>
    <n v="9.09"/>
    <n v="7.21"/>
    <x v="4"/>
    <x v="1"/>
  </r>
  <r>
    <s v="ORD-2025-0500"/>
    <x v="335"/>
    <s v="CUST-0010"/>
    <x v="4"/>
    <s v="Brighton"/>
    <x v="3"/>
    <x v="22"/>
    <x v="2"/>
    <n v="3"/>
    <n v="31.97"/>
    <n v="95.91"/>
    <n v="57.47"/>
    <n v="38.44"/>
    <x v="1"/>
    <x v="3"/>
  </r>
  <r>
    <s v="ORD-2025-0501"/>
    <x v="336"/>
    <s v="CUST-0148"/>
    <x v="111"/>
    <s v="Bristol"/>
    <x v="7"/>
    <x v="18"/>
    <x v="2"/>
    <n v="1"/>
    <n v="45.89"/>
    <n v="45.89"/>
    <n v="28.33"/>
    <n v="17.559999999999999"/>
    <x v="6"/>
    <x v="1"/>
  </r>
  <r>
    <s v="ORD-2025-0501"/>
    <x v="336"/>
    <s v="CUST-0148"/>
    <x v="111"/>
    <s v="Bristol"/>
    <x v="7"/>
    <x v="10"/>
    <x v="4"/>
    <n v="1"/>
    <n v="71.39"/>
    <n v="71.39"/>
    <n v="49.05"/>
    <n v="22.34"/>
    <x v="6"/>
    <x v="1"/>
  </r>
  <r>
    <s v="ORD-2025-0501"/>
    <x v="336"/>
    <s v="CUST-0148"/>
    <x v="111"/>
    <s v="Bristol"/>
    <x v="7"/>
    <x v="6"/>
    <x v="0"/>
    <n v="1"/>
    <n v="15.29"/>
    <n v="15.29"/>
    <n v="7.31"/>
    <n v="7.98"/>
    <x v="6"/>
    <x v="1"/>
  </r>
  <r>
    <s v="ORD-2025-0502"/>
    <x v="337"/>
    <s v="CUST-0057"/>
    <x v="6"/>
    <s v="Brighton"/>
    <x v="3"/>
    <x v="19"/>
    <x v="4"/>
    <n v="3"/>
    <n v="142.79"/>
    <n v="428.37"/>
    <n v="354.06"/>
    <n v="74.31"/>
    <x v="4"/>
    <x v="2"/>
  </r>
  <r>
    <s v="ORD-2025-0503"/>
    <x v="338"/>
    <s v="CUST-0113"/>
    <x v="67"/>
    <s v="Cambridge"/>
    <x v="10"/>
    <x v="2"/>
    <x v="2"/>
    <n v="1"/>
    <n v="67.819999999999993"/>
    <n v="67.819999999999993"/>
    <n v="47.06"/>
    <n v="20.76"/>
    <x v="0"/>
    <x v="0"/>
  </r>
  <r>
    <s v="ORD-2025-0504"/>
    <x v="339"/>
    <s v="CUST-0029"/>
    <x v="17"/>
    <s v="Bristol"/>
    <x v="7"/>
    <x v="0"/>
    <x v="0"/>
    <n v="1"/>
    <n v="26.15"/>
    <n v="26.15"/>
    <n v="14.59"/>
    <n v="11.56"/>
    <x v="4"/>
    <x v="0"/>
  </r>
  <r>
    <s v="ORD-2025-0505"/>
    <x v="339"/>
    <s v="CUST-0155"/>
    <x v="57"/>
    <s v="Leeds"/>
    <x v="2"/>
    <x v="23"/>
    <x v="1"/>
    <n v="3"/>
    <n v="72.67"/>
    <n v="218.01"/>
    <n v="155.74"/>
    <n v="62.27"/>
    <x v="4"/>
    <x v="3"/>
  </r>
  <r>
    <s v="ORD-2025-0505"/>
    <x v="339"/>
    <s v="CUST-0155"/>
    <x v="57"/>
    <s v="Leeds"/>
    <x v="2"/>
    <x v="9"/>
    <x v="3"/>
    <n v="3"/>
    <n v="30.34"/>
    <n v="91.02"/>
    <n v="66.650000000000006"/>
    <n v="24.37"/>
    <x v="4"/>
    <x v="3"/>
  </r>
  <r>
    <s v="ORD-2025-0506"/>
    <x v="340"/>
    <s v="CUST-0012"/>
    <x v="41"/>
    <s v="Manchester"/>
    <x v="1"/>
    <x v="24"/>
    <x v="4"/>
    <n v="1"/>
    <n v="45.89"/>
    <n v="45.89"/>
    <n v="30.16"/>
    <n v="15.73"/>
    <x v="1"/>
    <x v="1"/>
  </r>
  <r>
    <s v="ORD-2025-0507"/>
    <x v="341"/>
    <s v="CUST-0015"/>
    <x v="30"/>
    <s v="London"/>
    <x v="0"/>
    <x v="7"/>
    <x v="4"/>
    <n v="1"/>
    <n v="20.39"/>
    <n v="20.39"/>
    <n v="15.58"/>
    <n v="4.8099999999999996"/>
    <x v="4"/>
    <x v="1"/>
  </r>
  <r>
    <s v="ORD-2025-0508"/>
    <x v="341"/>
    <s v="CUST-0070"/>
    <x v="87"/>
    <s v="Leeds"/>
    <x v="2"/>
    <x v="3"/>
    <x v="3"/>
    <n v="1"/>
    <n v="30.59"/>
    <n v="30.59"/>
    <n v="17.36"/>
    <n v="13.23"/>
    <x v="1"/>
    <x v="1"/>
  </r>
  <r>
    <s v="ORD-2025-0509"/>
    <x v="342"/>
    <s v="CUST-0020"/>
    <x v="38"/>
    <s v="Manchester"/>
    <x v="1"/>
    <x v="5"/>
    <x v="1"/>
    <n v="1"/>
    <n v="13.25"/>
    <n v="13.25"/>
    <n v="7.13"/>
    <n v="6.12"/>
    <x v="0"/>
    <x v="2"/>
  </r>
  <r>
    <s v="ORD-2025-0510"/>
    <x v="343"/>
    <s v="CUST-0013"/>
    <x v="19"/>
    <s v="Sheffield"/>
    <x v="2"/>
    <x v="0"/>
    <x v="0"/>
    <n v="3"/>
    <n v="24.78"/>
    <n v="74.34"/>
    <n v="43.54"/>
    <n v="30.8"/>
    <x v="1"/>
    <x v="0"/>
  </r>
  <r>
    <s v="ORD-2025-0510"/>
    <x v="343"/>
    <s v="CUST-0013"/>
    <x v="19"/>
    <s v="Sheffield"/>
    <x v="2"/>
    <x v="14"/>
    <x v="2"/>
    <n v="2"/>
    <n v="20.39"/>
    <n v="40.78"/>
    <n v="20.100000000000001"/>
    <n v="20.68"/>
    <x v="1"/>
    <x v="0"/>
  </r>
  <r>
    <s v="ORD-2025-0511"/>
    <x v="343"/>
    <s v="CUST-0173"/>
    <x v="29"/>
    <s v="Nottingham"/>
    <x v="5"/>
    <x v="7"/>
    <x v="4"/>
    <n v="2"/>
    <n v="25.49"/>
    <n v="50.98"/>
    <n v="34.020000000000003"/>
    <n v="16.96"/>
    <x v="4"/>
    <x v="2"/>
  </r>
  <r>
    <s v="ORD-2025-0512"/>
    <x v="344"/>
    <s v="CUST-0004"/>
    <x v="69"/>
    <s v="Leeds"/>
    <x v="2"/>
    <x v="11"/>
    <x v="4"/>
    <n v="1"/>
    <n v="96.89"/>
    <n v="96.89"/>
    <n v="75.72"/>
    <n v="21.17"/>
    <x v="4"/>
    <x v="3"/>
  </r>
  <r>
    <s v="ORD-2025-0512"/>
    <x v="344"/>
    <s v="CUST-0004"/>
    <x v="69"/>
    <s v="Leeds"/>
    <x v="2"/>
    <x v="14"/>
    <x v="2"/>
    <n v="3"/>
    <n v="20.39"/>
    <n v="61.17"/>
    <n v="30.76"/>
    <n v="30.41"/>
    <x v="4"/>
    <x v="3"/>
  </r>
  <r>
    <s v="ORD-2025-0512"/>
    <x v="344"/>
    <s v="CUST-0004"/>
    <x v="69"/>
    <s v="Leeds"/>
    <x v="2"/>
    <x v="12"/>
    <x v="0"/>
    <n v="1"/>
    <n v="17.43"/>
    <n v="17.43"/>
    <n v="9.42"/>
    <n v="8.01"/>
    <x v="4"/>
    <x v="3"/>
  </r>
  <r>
    <s v="ORD-2025-0513"/>
    <x v="345"/>
    <s v="CUST-0020"/>
    <x v="38"/>
    <s v="Manchester"/>
    <x v="1"/>
    <x v="11"/>
    <x v="4"/>
    <n v="1"/>
    <n v="96.89"/>
    <n v="96.89"/>
    <n v="77.17"/>
    <n v="19.72"/>
    <x v="4"/>
    <x v="1"/>
  </r>
  <r>
    <s v="ORD-2025-0514"/>
    <x v="345"/>
    <s v="CUST-0040"/>
    <x v="112"/>
    <s v="Brighton"/>
    <x v="3"/>
    <x v="15"/>
    <x v="4"/>
    <n v="3"/>
    <n v="40.79"/>
    <n v="122.37"/>
    <n v="70.05"/>
    <n v="52.32"/>
    <x v="1"/>
    <x v="0"/>
  </r>
  <r>
    <s v="ORD-2025-0514"/>
    <x v="345"/>
    <s v="CUST-0040"/>
    <x v="112"/>
    <s v="Brighton"/>
    <x v="3"/>
    <x v="12"/>
    <x v="0"/>
    <n v="1"/>
    <n v="19.37"/>
    <n v="19.37"/>
    <n v="9.35"/>
    <n v="10.02"/>
    <x v="1"/>
    <x v="0"/>
  </r>
  <r>
    <s v="ORD-2025-0515"/>
    <x v="346"/>
    <s v="CUST-0017"/>
    <x v="16"/>
    <s v="Glasgow"/>
    <x v="6"/>
    <x v="14"/>
    <x v="2"/>
    <n v="3"/>
    <n v="20.39"/>
    <n v="61.17"/>
    <n v="30.15"/>
    <n v="31.02"/>
    <x v="3"/>
    <x v="0"/>
  </r>
  <r>
    <s v="ORD-2025-0515"/>
    <x v="346"/>
    <s v="CUST-0017"/>
    <x v="16"/>
    <s v="Glasgow"/>
    <x v="6"/>
    <x v="1"/>
    <x v="1"/>
    <n v="1"/>
    <n v="9.17"/>
    <n v="9.17"/>
    <n v="4.0599999999999996"/>
    <n v="5.1100000000000003"/>
    <x v="3"/>
    <x v="0"/>
  </r>
  <r>
    <s v="ORD-2025-0516"/>
    <x v="347"/>
    <s v="CUST-0025"/>
    <x v="81"/>
    <s v="Norwich"/>
    <x v="10"/>
    <x v="0"/>
    <x v="0"/>
    <n v="1"/>
    <n v="27.53"/>
    <n v="27.53"/>
    <n v="14.66"/>
    <n v="12.87"/>
    <x v="3"/>
    <x v="0"/>
  </r>
  <r>
    <s v="ORD-2025-0517"/>
    <x v="347"/>
    <s v="CUST-0056"/>
    <x v="132"/>
    <s v="Leeds"/>
    <x v="2"/>
    <x v="12"/>
    <x v="0"/>
    <n v="1"/>
    <n v="19.37"/>
    <n v="19.37"/>
    <n v="9.35"/>
    <n v="10.02"/>
    <x v="4"/>
    <x v="0"/>
  </r>
  <r>
    <s v="ORD-2025-0518"/>
    <x v="348"/>
    <s v="CUST-0013"/>
    <x v="19"/>
    <s v="Sheffield"/>
    <x v="2"/>
    <x v="1"/>
    <x v="1"/>
    <n v="1"/>
    <n v="9.17"/>
    <n v="9.17"/>
    <n v="4.29"/>
    <n v="4.88"/>
    <x v="1"/>
    <x v="1"/>
  </r>
  <r>
    <s v="ORD-2025-0519"/>
    <x v="349"/>
    <s v="CUST-0021"/>
    <x v="58"/>
    <s v="Edinburgh"/>
    <x v="6"/>
    <x v="6"/>
    <x v="0"/>
    <n v="5"/>
    <n v="13.76"/>
    <n v="68.8"/>
    <n v="35.93"/>
    <n v="32.869999999999997"/>
    <x v="2"/>
    <x v="1"/>
  </r>
  <r>
    <s v="ORD-2025-0520"/>
    <x v="350"/>
    <s v="CUST-0001"/>
    <x v="21"/>
    <s v="Bristol"/>
    <x v="7"/>
    <x v="5"/>
    <x v="1"/>
    <n v="1"/>
    <n v="12.59"/>
    <n v="12.59"/>
    <n v="6.54"/>
    <n v="6.05"/>
    <x v="3"/>
    <x v="1"/>
  </r>
  <r>
    <s v="ORD-2025-0521"/>
    <x v="350"/>
    <s v="CUST-0077"/>
    <x v="40"/>
    <s v="Leeds"/>
    <x v="2"/>
    <x v="24"/>
    <x v="4"/>
    <n v="1"/>
    <n v="45.89"/>
    <n v="45.89"/>
    <n v="29.47"/>
    <n v="16.420000000000002"/>
    <x v="5"/>
    <x v="3"/>
  </r>
  <r>
    <s v="ORD-2025-0522"/>
    <x v="350"/>
    <s v="CUST-0145"/>
    <x v="73"/>
    <s v="Exeter"/>
    <x v="7"/>
    <x v="20"/>
    <x v="1"/>
    <n v="2"/>
    <n v="8.15"/>
    <n v="16.3"/>
    <n v="9.09"/>
    <n v="7.21"/>
    <x v="2"/>
    <x v="1"/>
  </r>
  <r>
    <s v="ORD-2025-0523"/>
    <x v="351"/>
    <s v="CUST-0087"/>
    <x v="79"/>
    <s v="London"/>
    <x v="0"/>
    <x v="29"/>
    <x v="4"/>
    <n v="1"/>
    <n v="61.19"/>
    <n v="61.19"/>
    <n v="45.7"/>
    <n v="15.49"/>
    <x v="4"/>
    <x v="2"/>
  </r>
  <r>
    <s v="ORD-2025-0523"/>
    <x v="351"/>
    <s v="CUST-0087"/>
    <x v="79"/>
    <s v="London"/>
    <x v="0"/>
    <x v="22"/>
    <x v="2"/>
    <n v="2"/>
    <n v="30.28"/>
    <n v="60.56"/>
    <n v="41.42"/>
    <n v="19.14"/>
    <x v="4"/>
    <x v="2"/>
  </r>
  <r>
    <s v="ORD-2025-0524"/>
    <x v="352"/>
    <s v="CUST-0125"/>
    <x v="142"/>
    <s v="London"/>
    <x v="0"/>
    <x v="3"/>
    <x v="3"/>
    <n v="1"/>
    <n v="30.59"/>
    <n v="30.59"/>
    <n v="16.899999999999999"/>
    <n v="13.69"/>
    <x v="1"/>
    <x v="3"/>
  </r>
  <r>
    <s v="ORD-2025-0524"/>
    <x v="352"/>
    <s v="CUST-0125"/>
    <x v="142"/>
    <s v="London"/>
    <x v="0"/>
    <x v="6"/>
    <x v="0"/>
    <n v="3"/>
    <n v="15.29"/>
    <n v="45.87"/>
    <n v="21.24"/>
    <n v="24.63"/>
    <x v="1"/>
    <x v="3"/>
  </r>
  <r>
    <s v="ORD-2025-0525"/>
    <x v="352"/>
    <s v="CUST-0149"/>
    <x v="156"/>
    <s v="Birmingham"/>
    <x v="5"/>
    <x v="12"/>
    <x v="0"/>
    <n v="2"/>
    <n v="18.399999999999999"/>
    <n v="36.799999999999997"/>
    <n v="19.52"/>
    <n v="17.28"/>
    <x v="6"/>
    <x v="1"/>
  </r>
  <r>
    <s v="ORD-2025-0525"/>
    <x v="352"/>
    <s v="CUST-0149"/>
    <x v="156"/>
    <s v="Birmingham"/>
    <x v="5"/>
    <x v="14"/>
    <x v="2"/>
    <n v="1"/>
    <n v="19.37"/>
    <n v="19.37"/>
    <n v="10.48"/>
    <n v="8.89"/>
    <x v="6"/>
    <x v="1"/>
  </r>
  <r>
    <s v="ORD-2025-0526"/>
    <x v="353"/>
    <s v="CUST-0179"/>
    <x v="94"/>
    <s v="Nottingham"/>
    <x v="5"/>
    <x v="7"/>
    <x v="4"/>
    <n v="1"/>
    <n v="24.22"/>
    <n v="24.22"/>
    <n v="15.28"/>
    <n v="8.94"/>
    <x v="0"/>
    <x v="0"/>
  </r>
  <r>
    <s v="ORD-2025-0527"/>
    <x v="354"/>
    <s v="CUST-0035"/>
    <x v="12"/>
    <s v="London"/>
    <x v="0"/>
    <x v="5"/>
    <x v="1"/>
    <n v="1"/>
    <n v="13.25"/>
    <n v="13.25"/>
    <n v="7.13"/>
    <n v="6.12"/>
    <x v="0"/>
    <x v="2"/>
  </r>
  <r>
    <s v="ORD-2025-0528"/>
    <x v="355"/>
    <s v="CUST-0001"/>
    <x v="21"/>
    <s v="Bristol"/>
    <x v="7"/>
    <x v="12"/>
    <x v="0"/>
    <n v="3"/>
    <n v="19.37"/>
    <n v="58.11"/>
    <n v="28.06"/>
    <n v="30.05"/>
    <x v="4"/>
    <x v="0"/>
  </r>
  <r>
    <s v="ORD-2025-0528"/>
    <x v="355"/>
    <s v="CUST-0001"/>
    <x v="21"/>
    <s v="Bristol"/>
    <x v="7"/>
    <x v="6"/>
    <x v="0"/>
    <n v="3"/>
    <n v="15.29"/>
    <n v="45.87"/>
    <n v="20.78"/>
    <n v="25.09"/>
    <x v="4"/>
    <x v="0"/>
  </r>
  <r>
    <s v="ORD-2025-0528"/>
    <x v="355"/>
    <s v="CUST-0001"/>
    <x v="21"/>
    <s v="Bristol"/>
    <x v="7"/>
    <x v="22"/>
    <x v="2"/>
    <n v="1"/>
    <n v="31.97"/>
    <n v="31.97"/>
    <n v="18.84"/>
    <n v="13.13"/>
    <x v="4"/>
    <x v="0"/>
  </r>
  <r>
    <s v="ORD-2025-0529"/>
    <x v="355"/>
    <s v="CUST-0021"/>
    <x v="58"/>
    <s v="Edinburgh"/>
    <x v="6"/>
    <x v="22"/>
    <x v="2"/>
    <n v="1"/>
    <n v="33.65"/>
    <n v="33.65"/>
    <n v="18.93"/>
    <n v="14.72"/>
    <x v="4"/>
    <x v="0"/>
  </r>
  <r>
    <s v="ORD-2025-0530"/>
    <x v="356"/>
    <s v="CUST-0030"/>
    <x v="76"/>
    <s v="Sheffield"/>
    <x v="2"/>
    <x v="10"/>
    <x v="4"/>
    <n v="1"/>
    <n v="71.39"/>
    <n v="71.39"/>
    <n v="47.26"/>
    <n v="24.13"/>
    <x v="0"/>
    <x v="0"/>
  </r>
  <r>
    <s v="ORD-2025-0531"/>
    <x v="356"/>
    <s v="CUST-0134"/>
    <x v="141"/>
    <s v="Leeds"/>
    <x v="2"/>
    <x v="27"/>
    <x v="0"/>
    <n v="2"/>
    <n v="25.49"/>
    <n v="50.98"/>
    <n v="26.14"/>
    <n v="24.84"/>
    <x v="1"/>
    <x v="0"/>
  </r>
  <r>
    <s v="ORD-2025-0532"/>
    <x v="357"/>
    <s v="CUST-0092"/>
    <x v="60"/>
    <s v="London"/>
    <x v="0"/>
    <x v="7"/>
    <x v="4"/>
    <n v="1"/>
    <n v="25.49"/>
    <n v="25.49"/>
    <n v="15.35"/>
    <n v="10.14"/>
    <x v="4"/>
    <x v="0"/>
  </r>
  <r>
    <s v="ORD-2025-0532"/>
    <x v="357"/>
    <s v="CUST-0092"/>
    <x v="60"/>
    <s v="London"/>
    <x v="0"/>
    <x v="0"/>
    <x v="0"/>
    <n v="2"/>
    <n v="27.53"/>
    <n v="55.06"/>
    <n v="29.33"/>
    <n v="25.73"/>
    <x v="4"/>
    <x v="0"/>
  </r>
  <r>
    <s v="ORD-2025-0533"/>
    <x v="358"/>
    <s v="CUST-0096"/>
    <x v="146"/>
    <s v="Norwich"/>
    <x v="10"/>
    <x v="22"/>
    <x v="2"/>
    <n v="1"/>
    <n v="31.97"/>
    <n v="31.97"/>
    <n v="19.16"/>
    <n v="12.81"/>
    <x v="1"/>
    <x v="3"/>
  </r>
  <r>
    <s v="ORD-2025-0534"/>
    <x v="359"/>
    <s v="CUST-0009"/>
    <x v="34"/>
    <s v="Brighton"/>
    <x v="3"/>
    <x v="11"/>
    <x v="4"/>
    <n v="1"/>
    <n v="96.89"/>
    <n v="96.89"/>
    <n v="74.75"/>
    <n v="22.14"/>
    <x v="3"/>
    <x v="0"/>
  </r>
  <r>
    <s v="ORD-2025-0535"/>
    <x v="359"/>
    <s v="CUST-0041"/>
    <x v="78"/>
    <s v="Liverpool"/>
    <x v="1"/>
    <x v="24"/>
    <x v="4"/>
    <n v="3"/>
    <n v="45.89"/>
    <n v="137.66999999999999"/>
    <n v="88.41"/>
    <n v="49.26"/>
    <x v="4"/>
    <x v="3"/>
  </r>
  <r>
    <s v="ORD-2025-0535"/>
    <x v="359"/>
    <s v="CUST-0041"/>
    <x v="78"/>
    <s v="Liverpool"/>
    <x v="1"/>
    <x v="15"/>
    <x v="4"/>
    <n v="1"/>
    <n v="40.79"/>
    <n v="40.79"/>
    <n v="23.76"/>
    <n v="17.03"/>
    <x v="4"/>
    <x v="3"/>
  </r>
  <r>
    <s v="ORD-2025-0536"/>
    <x v="360"/>
    <s v="CUST-0039"/>
    <x v="61"/>
    <s v="Cambridge"/>
    <x v="10"/>
    <x v="0"/>
    <x v="0"/>
    <n v="1"/>
    <n v="27.53"/>
    <n v="27.53"/>
    <n v="15.35"/>
    <n v="12.18"/>
    <x v="1"/>
    <x v="1"/>
  </r>
  <r>
    <s v="ORD-2025-0537"/>
    <x v="360"/>
    <s v="CUST-0133"/>
    <x v="145"/>
    <s v="Sheffield"/>
    <x v="2"/>
    <x v="13"/>
    <x v="2"/>
    <n v="3"/>
    <n v="28.55"/>
    <n v="85.65"/>
    <n v="48.63"/>
    <n v="37.020000000000003"/>
    <x v="0"/>
    <x v="2"/>
  </r>
  <r>
    <s v="ORD-2025-0538"/>
    <x v="360"/>
    <s v="CUST-0171"/>
    <x v="128"/>
    <s v="Southampton"/>
    <x v="3"/>
    <x v="7"/>
    <x v="4"/>
    <n v="1"/>
    <n v="25.49"/>
    <n v="25.49"/>
    <n v="15.35"/>
    <n v="10.14"/>
    <x v="1"/>
    <x v="0"/>
  </r>
  <r>
    <s v="ORD-2025-0539"/>
    <x v="360"/>
    <s v="CUST-0177"/>
    <x v="157"/>
    <s v="Edinburgh"/>
    <x v="6"/>
    <x v="16"/>
    <x v="3"/>
    <n v="1"/>
    <n v="164.72"/>
    <n v="164.72"/>
    <n v="142.58000000000001"/>
    <n v="22.14"/>
    <x v="1"/>
    <x v="1"/>
  </r>
  <r>
    <s v="ORD-2025-0540"/>
    <x v="361"/>
    <s v="CUST-0002"/>
    <x v="3"/>
    <s v="Sheffield"/>
    <x v="2"/>
    <x v="12"/>
    <x v="0"/>
    <n v="2"/>
    <n v="19.37"/>
    <n v="38.74"/>
    <n v="18.71"/>
    <n v="20.03"/>
    <x v="4"/>
    <x v="0"/>
  </r>
  <r>
    <s v="ORD-2025-0540"/>
    <x v="361"/>
    <s v="CUST-0002"/>
    <x v="3"/>
    <s v="Sheffield"/>
    <x v="2"/>
    <x v="27"/>
    <x v="0"/>
    <n v="2"/>
    <n v="25.49"/>
    <n v="50.98"/>
    <n v="26.14"/>
    <n v="24.84"/>
    <x v="4"/>
    <x v="0"/>
  </r>
  <r>
    <s v="ORD-2025-0541"/>
    <x v="361"/>
    <s v="CUST-0028"/>
    <x v="0"/>
    <s v="London"/>
    <x v="0"/>
    <x v="18"/>
    <x v="2"/>
    <n v="1"/>
    <n v="45.89"/>
    <n v="45.89"/>
    <n v="30.17"/>
    <n v="15.72"/>
    <x v="4"/>
    <x v="2"/>
  </r>
  <r>
    <s v="ORD-2025-0542"/>
    <x v="362"/>
    <s v="CUST-0100"/>
    <x v="64"/>
    <s v="Norwich"/>
    <x v="10"/>
    <x v="7"/>
    <x v="4"/>
    <n v="1"/>
    <n v="25.49"/>
    <n v="25.49"/>
    <n v="15.99"/>
    <n v="9.5"/>
    <x v="3"/>
    <x v="1"/>
  </r>
  <r>
    <s v="ORD-2025-0543"/>
    <x v="363"/>
    <s v="CUST-0066"/>
    <x v="137"/>
    <s v="London"/>
    <x v="0"/>
    <x v="13"/>
    <x v="2"/>
    <n v="2"/>
    <n v="28.55"/>
    <n v="57.1"/>
    <n v="28.71"/>
    <n v="28.39"/>
    <x v="1"/>
    <x v="0"/>
  </r>
  <r>
    <s v="ORD-2025-0544"/>
    <x v="364"/>
    <s v="CUST-0156"/>
    <x v="109"/>
    <s v="Brighton"/>
    <x v="3"/>
    <x v="21"/>
    <x v="1"/>
    <n v="1"/>
    <n v="110.15"/>
    <n v="110.15"/>
    <n v="90.09"/>
    <n v="20.059999999999999"/>
    <x v="4"/>
    <x v="0"/>
  </r>
  <r>
    <s v="ORD-2025-0545"/>
    <x v="365"/>
    <s v="CUST-0156"/>
    <x v="109"/>
    <s v="Brighton"/>
    <x v="3"/>
    <x v="0"/>
    <x v="0"/>
    <n v="4"/>
    <n v="24.78"/>
    <n v="99.12"/>
    <n v="59.04"/>
    <n v="40.08"/>
    <x v="4"/>
    <x v="3"/>
  </r>
  <r>
    <s v="ORD-2025-0546"/>
    <x v="366"/>
    <s v="CUST-0114"/>
    <x v="83"/>
    <s v="Bristol"/>
    <x v="7"/>
    <x v="17"/>
    <x v="0"/>
    <n v="1"/>
    <n v="86.69"/>
    <n v="86.69"/>
    <n v="63.01"/>
    <n v="23.68"/>
    <x v="6"/>
    <x v="1"/>
  </r>
  <r>
    <s v="ORD-2025-0546"/>
    <x v="366"/>
    <s v="CUST-0114"/>
    <x v="83"/>
    <s v="Bristol"/>
    <x v="7"/>
    <x v="14"/>
    <x v="2"/>
    <n v="2"/>
    <n v="20.39"/>
    <n v="40.78"/>
    <n v="21.12"/>
    <n v="19.66"/>
    <x v="6"/>
    <x v="1"/>
  </r>
  <r>
    <s v="ORD-2025-0547"/>
    <x v="366"/>
    <s v="CUST-0161"/>
    <x v="23"/>
    <s v="Birmingham"/>
    <x v="5"/>
    <x v="17"/>
    <x v="0"/>
    <n v="1"/>
    <n v="86.69"/>
    <n v="86.69"/>
    <n v="61.71"/>
    <n v="24.98"/>
    <x v="4"/>
    <x v="3"/>
  </r>
  <r>
    <s v="ORD-2025-0548"/>
    <x v="367"/>
    <s v="CUST-0050"/>
    <x v="158"/>
    <s v="London"/>
    <x v="0"/>
    <x v="24"/>
    <x v="4"/>
    <n v="1"/>
    <n v="45.89"/>
    <n v="45.89"/>
    <n v="29.01"/>
    <n v="16.88"/>
    <x v="4"/>
    <x v="0"/>
  </r>
  <r>
    <s v="ORD-2025-0549"/>
    <x v="368"/>
    <s v="CUST-0020"/>
    <x v="38"/>
    <s v="Manchester"/>
    <x v="1"/>
    <x v="11"/>
    <x v="4"/>
    <n v="2"/>
    <n v="96.89"/>
    <n v="193.78"/>
    <n v="149.5"/>
    <n v="44.28"/>
    <x v="1"/>
    <x v="0"/>
  </r>
  <r>
    <s v="ORD-2025-0549"/>
    <x v="368"/>
    <s v="CUST-0020"/>
    <x v="38"/>
    <s v="Manchester"/>
    <x v="1"/>
    <x v="27"/>
    <x v="0"/>
    <n v="1"/>
    <n v="24.22"/>
    <n v="24.22"/>
    <n v="13"/>
    <n v="11.22"/>
    <x v="1"/>
    <x v="0"/>
  </r>
  <r>
    <s v="ORD-2025-0550"/>
    <x v="369"/>
    <s v="CUST-0147"/>
    <x v="159"/>
    <s v="Brighton"/>
    <x v="3"/>
    <x v="6"/>
    <x v="0"/>
    <n v="2"/>
    <n v="15.29"/>
    <n v="30.58"/>
    <n v="13.85"/>
    <n v="16.73"/>
    <x v="1"/>
    <x v="0"/>
  </r>
  <r>
    <s v="ORD-2025-0551"/>
    <x v="370"/>
    <s v="CUST-0007"/>
    <x v="107"/>
    <s v="Southampton"/>
    <x v="3"/>
    <x v="27"/>
    <x v="0"/>
    <n v="1"/>
    <n v="25.49"/>
    <n v="25.49"/>
    <n v="14.73"/>
    <n v="10.76"/>
    <x v="1"/>
    <x v="2"/>
  </r>
  <r>
    <s v="ORD-2025-0552"/>
    <x v="371"/>
    <s v="CUST-0007"/>
    <x v="107"/>
    <s v="Southampton"/>
    <x v="3"/>
    <x v="11"/>
    <x v="4"/>
    <n v="3"/>
    <n v="96.89"/>
    <n v="290.67"/>
    <n v="224.24"/>
    <n v="66.430000000000007"/>
    <x v="3"/>
    <x v="0"/>
  </r>
  <r>
    <s v="ORD-2025-0553"/>
    <x v="371"/>
    <s v="CUST-0117"/>
    <x v="46"/>
    <s v="Liverpool"/>
    <x v="1"/>
    <x v="12"/>
    <x v="0"/>
    <n v="1"/>
    <n v="19.37"/>
    <n v="19.37"/>
    <n v="9.84"/>
    <n v="9.5299999999999994"/>
    <x v="1"/>
    <x v="1"/>
  </r>
  <r>
    <s v="ORD-2025-0554"/>
    <x v="372"/>
    <s v="CUST-0049"/>
    <x v="55"/>
    <s v="Cambridge"/>
    <x v="10"/>
    <x v="4"/>
    <x v="3"/>
    <n v="3"/>
    <n v="81.59"/>
    <n v="244.77"/>
    <n v="175.47"/>
    <n v="69.3"/>
    <x v="1"/>
    <x v="1"/>
  </r>
  <r>
    <s v="ORD-2025-0555"/>
    <x v="373"/>
    <s v="CUST-0023"/>
    <x v="50"/>
    <s v="Cardiff"/>
    <x v="8"/>
    <x v="25"/>
    <x v="1"/>
    <n v="1"/>
    <n v="203.99"/>
    <n v="203.99"/>
    <n v="174.69"/>
    <n v="29.3"/>
    <x v="0"/>
    <x v="2"/>
  </r>
  <r>
    <s v="ORD-2025-0555"/>
    <x v="373"/>
    <s v="CUST-0023"/>
    <x v="50"/>
    <s v="Cardiff"/>
    <x v="8"/>
    <x v="1"/>
    <x v="1"/>
    <n v="1"/>
    <n v="9.17"/>
    <n v="9.17"/>
    <n v="4.66"/>
    <n v="4.51"/>
    <x v="0"/>
    <x v="2"/>
  </r>
  <r>
    <s v="ORD-2025-0556"/>
    <x v="373"/>
    <s v="CUST-0029"/>
    <x v="17"/>
    <s v="Bristol"/>
    <x v="7"/>
    <x v="10"/>
    <x v="4"/>
    <n v="3"/>
    <n v="71.39"/>
    <n v="214.17"/>
    <n v="141.78"/>
    <n v="72.39"/>
    <x v="3"/>
    <x v="0"/>
  </r>
  <r>
    <s v="ORD-2025-0557"/>
    <x v="373"/>
    <s v="CUST-0068"/>
    <x v="153"/>
    <s v="Southampton"/>
    <x v="3"/>
    <x v="26"/>
    <x v="3"/>
    <n v="1"/>
    <n v="112.19"/>
    <n v="112.19"/>
    <n v="84.89"/>
    <n v="27.3"/>
    <x v="1"/>
    <x v="1"/>
  </r>
  <r>
    <s v="ORD-2025-0558"/>
    <x v="373"/>
    <s v="CUST-0157"/>
    <x v="106"/>
    <s v="London"/>
    <x v="0"/>
    <x v="15"/>
    <x v="4"/>
    <n v="2"/>
    <n v="38.75"/>
    <n v="77.5"/>
    <n v="48.41"/>
    <n v="29.09"/>
    <x v="1"/>
    <x v="1"/>
  </r>
  <r>
    <s v="ORD-2025-0559"/>
    <x v="374"/>
    <s v="CUST-0046"/>
    <x v="95"/>
    <s v="London"/>
    <x v="0"/>
    <x v="22"/>
    <x v="2"/>
    <n v="4"/>
    <n v="33.65"/>
    <n v="134.6"/>
    <n v="79.08"/>
    <n v="55.52"/>
    <x v="6"/>
    <x v="1"/>
  </r>
  <r>
    <s v="ORD-2025-0560"/>
    <x v="375"/>
    <s v="CUST-0048"/>
    <x v="89"/>
    <s v="Belfast"/>
    <x v="4"/>
    <x v="12"/>
    <x v="0"/>
    <n v="5"/>
    <n v="18.399999999999999"/>
    <n v="92"/>
    <n v="46.5"/>
    <n v="45.5"/>
    <x v="1"/>
    <x v="0"/>
  </r>
  <r>
    <s v="ORD-2025-0561"/>
    <x v="375"/>
    <s v="CUST-0174"/>
    <x v="93"/>
    <s v="Manchester"/>
    <x v="1"/>
    <x v="6"/>
    <x v="0"/>
    <n v="2"/>
    <n v="15.29"/>
    <n v="30.58"/>
    <n v="15.84"/>
    <n v="14.74"/>
    <x v="4"/>
    <x v="2"/>
  </r>
  <r>
    <s v="ORD-2025-0561"/>
    <x v="375"/>
    <s v="CUST-0174"/>
    <x v="93"/>
    <s v="Manchester"/>
    <x v="1"/>
    <x v="23"/>
    <x v="1"/>
    <n v="3"/>
    <n v="76.489999999999995"/>
    <n v="229.47"/>
    <n v="169.11"/>
    <n v="60.36"/>
    <x v="4"/>
    <x v="2"/>
  </r>
  <r>
    <s v="ORD-2025-0562"/>
    <x v="376"/>
    <s v="CUST-0001"/>
    <x v="21"/>
    <s v="Bristol"/>
    <x v="7"/>
    <x v="22"/>
    <x v="2"/>
    <n v="3"/>
    <n v="33.65"/>
    <n v="100.95"/>
    <n v="63.35"/>
    <n v="37.6"/>
    <x v="1"/>
    <x v="2"/>
  </r>
  <r>
    <s v="ORD-2025-0563"/>
    <x v="377"/>
    <s v="CUST-0018"/>
    <x v="90"/>
    <s v="Leeds"/>
    <x v="2"/>
    <x v="26"/>
    <x v="3"/>
    <n v="1"/>
    <n v="106.58"/>
    <n v="106.58"/>
    <n v="81.78"/>
    <n v="24.8"/>
    <x v="4"/>
    <x v="0"/>
  </r>
  <r>
    <s v="ORD-2025-0564"/>
    <x v="378"/>
    <s v="CUST-0163"/>
    <x v="33"/>
    <s v="Edinburgh"/>
    <x v="6"/>
    <x v="6"/>
    <x v="0"/>
    <n v="1"/>
    <n v="15.29"/>
    <n v="15.29"/>
    <n v="6.93"/>
    <n v="8.36"/>
    <x v="1"/>
    <x v="0"/>
  </r>
  <r>
    <s v="ORD-2025-0565"/>
    <x v="379"/>
    <s v="CUST-0007"/>
    <x v="107"/>
    <s v="Southampton"/>
    <x v="3"/>
    <x v="23"/>
    <x v="1"/>
    <n v="2"/>
    <n v="72.67"/>
    <n v="145.34"/>
    <n v="102.38"/>
    <n v="42.96"/>
    <x v="1"/>
    <x v="0"/>
  </r>
  <r>
    <s v="ORD-2025-0566"/>
    <x v="380"/>
    <s v="CUST-0001"/>
    <x v="21"/>
    <s v="Bristol"/>
    <x v="7"/>
    <x v="12"/>
    <x v="0"/>
    <n v="1"/>
    <n v="19.37"/>
    <n v="19.37"/>
    <n v="9.84"/>
    <n v="9.5299999999999994"/>
    <x v="1"/>
    <x v="1"/>
  </r>
  <r>
    <s v="ORD-2025-0567"/>
    <x v="380"/>
    <s v="CUST-0026"/>
    <x v="140"/>
    <s v="Liverpool"/>
    <x v="1"/>
    <x v="15"/>
    <x v="4"/>
    <n v="3"/>
    <n v="40.79"/>
    <n v="122.37"/>
    <n v="73.11"/>
    <n v="49.26"/>
    <x v="3"/>
    <x v="1"/>
  </r>
  <r>
    <s v="ORD-2025-0567"/>
    <x v="380"/>
    <s v="CUST-0026"/>
    <x v="140"/>
    <s v="Liverpool"/>
    <x v="1"/>
    <x v="24"/>
    <x v="4"/>
    <n v="3"/>
    <n v="39.01"/>
    <n v="117.03"/>
    <n v="88.82"/>
    <n v="28.21"/>
    <x v="3"/>
    <x v="1"/>
  </r>
  <r>
    <s v="ORD-2025-0568"/>
    <x v="381"/>
    <s v="CUST-0115"/>
    <x v="160"/>
    <s v="Bristol"/>
    <x v="7"/>
    <x v="22"/>
    <x v="2"/>
    <n v="3"/>
    <n v="28.6"/>
    <n v="85.8"/>
    <n v="55.95"/>
    <n v="29.85"/>
    <x v="4"/>
    <x v="0"/>
  </r>
  <r>
    <s v="ORD-2025-0569"/>
    <x v="382"/>
    <s v="CUST-0011"/>
    <x v="9"/>
    <s v="Liverpool"/>
    <x v="1"/>
    <x v="5"/>
    <x v="1"/>
    <n v="1"/>
    <n v="12.59"/>
    <n v="12.59"/>
    <n v="6.23"/>
    <n v="6.36"/>
    <x v="4"/>
    <x v="0"/>
  </r>
  <r>
    <s v="ORD-2025-0570"/>
    <x v="382"/>
    <s v="CUST-0039"/>
    <x v="61"/>
    <s v="Cambridge"/>
    <x v="10"/>
    <x v="8"/>
    <x v="3"/>
    <n v="1"/>
    <n v="91.79"/>
    <n v="91.79"/>
    <n v="65.33"/>
    <n v="26.46"/>
    <x v="0"/>
    <x v="0"/>
  </r>
  <r>
    <s v="ORD-2025-0571"/>
    <x v="383"/>
    <s v="CUST-0031"/>
    <x v="39"/>
    <s v="Bristol"/>
    <x v="7"/>
    <x v="20"/>
    <x v="1"/>
    <n v="1"/>
    <n v="8.15"/>
    <n v="8.15"/>
    <n v="4.34"/>
    <n v="3.81"/>
    <x v="3"/>
    <x v="0"/>
  </r>
  <r>
    <s v="ORD-2025-0572"/>
    <x v="383"/>
    <s v="CUST-0151"/>
    <x v="92"/>
    <s v="Cardiff"/>
    <x v="8"/>
    <x v="15"/>
    <x v="4"/>
    <n v="1"/>
    <n v="36.71"/>
    <n v="36.71"/>
    <n v="23.13"/>
    <n v="13.58"/>
    <x v="1"/>
    <x v="0"/>
  </r>
  <r>
    <s v="ORD-2025-0573"/>
    <x v="384"/>
    <s v="CUST-0014"/>
    <x v="49"/>
    <s v="Cardiff"/>
    <x v="8"/>
    <x v="28"/>
    <x v="4"/>
    <n v="1"/>
    <n v="50.48"/>
    <n v="50.48"/>
    <n v="36.270000000000003"/>
    <n v="14.21"/>
    <x v="0"/>
    <x v="0"/>
  </r>
  <r>
    <s v="ORD-2025-0574"/>
    <x v="384"/>
    <s v="CUST-0081"/>
    <x v="96"/>
    <s v="Southampton"/>
    <x v="3"/>
    <x v="3"/>
    <x v="3"/>
    <n v="2"/>
    <n v="29.06"/>
    <n v="58.12"/>
    <n v="33.03"/>
    <n v="25.09"/>
    <x v="4"/>
    <x v="0"/>
  </r>
  <r>
    <s v="ORD-2025-0575"/>
    <x v="384"/>
    <s v="CUST-0098"/>
    <x v="119"/>
    <s v="Cambridge"/>
    <x v="10"/>
    <x v="20"/>
    <x v="1"/>
    <n v="1"/>
    <n v="8.15"/>
    <n v="8.15"/>
    <n v="4.34"/>
    <n v="3.81"/>
    <x v="4"/>
    <x v="0"/>
  </r>
  <r>
    <s v="ORD-2025-0576"/>
    <x v="385"/>
    <s v="CUST-0011"/>
    <x v="9"/>
    <s v="Liverpool"/>
    <x v="1"/>
    <x v="9"/>
    <x v="3"/>
    <n v="1"/>
    <n v="35.69"/>
    <n v="35.69"/>
    <n v="24.53"/>
    <n v="11.16"/>
    <x v="4"/>
    <x v="2"/>
  </r>
  <r>
    <s v="ORD-2025-0577"/>
    <x v="385"/>
    <s v="CUST-0105"/>
    <x v="143"/>
    <s v="Brighton"/>
    <x v="3"/>
    <x v="13"/>
    <x v="2"/>
    <n v="1"/>
    <n v="28.55"/>
    <n v="28.55"/>
    <n v="16.21"/>
    <n v="12.34"/>
    <x v="0"/>
    <x v="2"/>
  </r>
  <r>
    <s v="ORD-2025-0577"/>
    <x v="385"/>
    <s v="CUST-0105"/>
    <x v="143"/>
    <s v="Brighton"/>
    <x v="3"/>
    <x v="19"/>
    <x v="4"/>
    <n v="2"/>
    <n v="142.79"/>
    <n v="285.58"/>
    <n v="236.04"/>
    <n v="49.54"/>
    <x v="0"/>
    <x v="2"/>
  </r>
  <r>
    <s v="ORD-2025-0578"/>
    <x v="386"/>
    <s v="CUST-0033"/>
    <x v="42"/>
    <s v="Manchester"/>
    <x v="1"/>
    <x v="9"/>
    <x v="3"/>
    <n v="1"/>
    <n v="33.909999999999997"/>
    <n v="33.909999999999997"/>
    <n v="22.96"/>
    <n v="10.95"/>
    <x v="3"/>
    <x v="1"/>
  </r>
  <r>
    <s v="ORD-2025-0578"/>
    <x v="386"/>
    <s v="CUST-0033"/>
    <x v="42"/>
    <s v="Manchester"/>
    <x v="1"/>
    <x v="15"/>
    <x v="4"/>
    <n v="1"/>
    <n v="40.79"/>
    <n v="40.79"/>
    <n v="24.37"/>
    <n v="16.420000000000002"/>
    <x v="3"/>
    <x v="1"/>
  </r>
  <r>
    <s v="ORD-2025-0579"/>
    <x v="386"/>
    <s v="CUST-0151"/>
    <x v="92"/>
    <s v="Cardiff"/>
    <x v="8"/>
    <x v="24"/>
    <x v="4"/>
    <n v="2"/>
    <n v="45.89"/>
    <n v="91.78"/>
    <n v="60.31"/>
    <n v="31.47"/>
    <x v="4"/>
    <x v="1"/>
  </r>
  <r>
    <s v="ORD-2025-0580"/>
    <x v="387"/>
    <s v="CUST-0004"/>
    <x v="69"/>
    <s v="Leeds"/>
    <x v="2"/>
    <x v="29"/>
    <x v="4"/>
    <n v="1"/>
    <n v="61.19"/>
    <n v="61.19"/>
    <n v="45.7"/>
    <n v="15.49"/>
    <x v="0"/>
    <x v="2"/>
  </r>
  <r>
    <s v="ORD-2025-0581"/>
    <x v="387"/>
    <s v="CUST-0063"/>
    <x v="43"/>
    <s v="Bristol"/>
    <x v="7"/>
    <x v="0"/>
    <x v="0"/>
    <n v="2"/>
    <n v="24.78"/>
    <n v="49.56"/>
    <n v="29.02"/>
    <n v="20.54"/>
    <x v="0"/>
    <x v="0"/>
  </r>
  <r>
    <s v="ORD-2025-0581"/>
    <x v="387"/>
    <s v="CUST-0063"/>
    <x v="43"/>
    <s v="Bristol"/>
    <x v="7"/>
    <x v="3"/>
    <x v="3"/>
    <n v="2"/>
    <n v="29.06"/>
    <n v="58.12"/>
    <n v="33.03"/>
    <n v="25.09"/>
    <x v="0"/>
    <x v="0"/>
  </r>
  <r>
    <s v="ORD-2025-0582"/>
    <x v="388"/>
    <s v="CUST-0001"/>
    <x v="21"/>
    <s v="Bristol"/>
    <x v="7"/>
    <x v="20"/>
    <x v="1"/>
    <n v="1"/>
    <n v="7.33"/>
    <n v="7.33"/>
    <n v="4.3"/>
    <n v="3.03"/>
    <x v="1"/>
    <x v="0"/>
  </r>
  <r>
    <s v="ORD-2025-0583"/>
    <x v="388"/>
    <s v="CUST-0094"/>
    <x v="152"/>
    <s v="Exeter"/>
    <x v="7"/>
    <x v="7"/>
    <x v="4"/>
    <n v="2"/>
    <n v="22.94"/>
    <n v="45.88"/>
    <n v="30.42"/>
    <n v="15.46"/>
    <x v="4"/>
    <x v="0"/>
  </r>
  <r>
    <s v="ORD-2025-0584"/>
    <x v="388"/>
    <s v="CUST-0145"/>
    <x v="73"/>
    <s v="Exeter"/>
    <x v="7"/>
    <x v="15"/>
    <x v="4"/>
    <n v="2"/>
    <n v="38.75"/>
    <n v="77.5"/>
    <n v="46.48"/>
    <n v="31.02"/>
    <x v="0"/>
    <x v="0"/>
  </r>
  <r>
    <s v="ORD-2025-0585"/>
    <x v="389"/>
    <s v="CUST-0002"/>
    <x v="3"/>
    <s v="Sheffield"/>
    <x v="2"/>
    <x v="0"/>
    <x v="0"/>
    <n v="3"/>
    <n v="27.53"/>
    <n v="82.59"/>
    <n v="49.36"/>
    <n v="33.229999999999997"/>
    <x v="4"/>
    <x v="2"/>
  </r>
  <r>
    <s v="ORD-2025-0586"/>
    <x v="389"/>
    <s v="CUST-0004"/>
    <x v="69"/>
    <s v="Leeds"/>
    <x v="2"/>
    <x v="2"/>
    <x v="2"/>
    <n v="1"/>
    <n v="71.39"/>
    <n v="71.39"/>
    <n v="49.05"/>
    <n v="22.34"/>
    <x v="4"/>
    <x v="1"/>
  </r>
  <r>
    <s v="ORD-2025-0587"/>
    <x v="389"/>
    <s v="CUST-0039"/>
    <x v="61"/>
    <s v="Cambridge"/>
    <x v="10"/>
    <x v="3"/>
    <x v="3"/>
    <n v="4"/>
    <n v="30.59"/>
    <n v="122.36"/>
    <n v="66.39"/>
    <n v="55.97"/>
    <x v="3"/>
    <x v="0"/>
  </r>
  <r>
    <s v="ORD-2025-0588"/>
    <x v="390"/>
    <s v="CUST-0065"/>
    <x v="75"/>
    <s v="Brighton"/>
    <x v="3"/>
    <x v="26"/>
    <x v="3"/>
    <n v="2"/>
    <n v="100.97"/>
    <n v="201.94"/>
    <n v="162.94"/>
    <n v="39"/>
    <x v="2"/>
    <x v="0"/>
  </r>
  <r>
    <s v="ORD-2025-0588"/>
    <x v="390"/>
    <s v="CUST-0065"/>
    <x v="75"/>
    <s v="Brighton"/>
    <x v="3"/>
    <x v="8"/>
    <x v="3"/>
    <n v="1"/>
    <n v="91.79"/>
    <n v="91.79"/>
    <n v="65.33"/>
    <n v="26.46"/>
    <x v="2"/>
    <x v="0"/>
  </r>
  <r>
    <s v="ORD-2025-0589"/>
    <x v="390"/>
    <s v="CUST-0156"/>
    <x v="109"/>
    <s v="Brighton"/>
    <x v="3"/>
    <x v="14"/>
    <x v="2"/>
    <n v="2"/>
    <n v="16.309999999999999"/>
    <n v="32.619999999999997"/>
    <n v="21.77"/>
    <n v="10.85"/>
    <x v="4"/>
    <x v="2"/>
  </r>
  <r>
    <s v="ORD-2025-0590"/>
    <x v="390"/>
    <s v="CUST-0164"/>
    <x v="47"/>
    <s v="Brighton"/>
    <x v="3"/>
    <x v="24"/>
    <x v="4"/>
    <n v="1"/>
    <n v="43.6"/>
    <n v="43.6"/>
    <n v="28.88"/>
    <n v="14.72"/>
    <x v="4"/>
    <x v="0"/>
  </r>
  <r>
    <s v="ORD-2025-0590"/>
    <x v="390"/>
    <s v="CUST-0164"/>
    <x v="47"/>
    <s v="Brighton"/>
    <x v="3"/>
    <x v="13"/>
    <x v="2"/>
    <n v="2"/>
    <n v="28.55"/>
    <n v="57.1"/>
    <n v="28.71"/>
    <n v="28.39"/>
    <x v="4"/>
    <x v="0"/>
  </r>
  <r>
    <s v="ORD-2025-0591"/>
    <x v="391"/>
    <s v="CUST-0019"/>
    <x v="116"/>
    <s v="Sheffield"/>
    <x v="2"/>
    <x v="6"/>
    <x v="0"/>
    <n v="1"/>
    <n v="14.53"/>
    <n v="14.53"/>
    <n v="7.25"/>
    <n v="7.28"/>
    <x v="6"/>
    <x v="1"/>
  </r>
  <r>
    <s v="ORD-2025-0592"/>
    <x v="391"/>
    <s v="CUST-0055"/>
    <x v="126"/>
    <s v="Cardiff"/>
    <x v="8"/>
    <x v="27"/>
    <x v="0"/>
    <n v="1"/>
    <n v="21.67"/>
    <n v="21.67"/>
    <n v="13.4"/>
    <n v="8.27"/>
    <x v="1"/>
    <x v="1"/>
  </r>
  <r>
    <s v="ORD-2025-0592"/>
    <x v="391"/>
    <s v="CUST-0055"/>
    <x v="126"/>
    <s v="Cardiff"/>
    <x v="8"/>
    <x v="0"/>
    <x v="0"/>
    <n v="3"/>
    <n v="27.53"/>
    <n v="82.59"/>
    <n v="46.06"/>
    <n v="36.53"/>
    <x v="1"/>
    <x v="1"/>
  </r>
  <r>
    <s v="ORD-2025-0593"/>
    <x v="392"/>
    <s v="CUST-0014"/>
    <x v="49"/>
    <s v="Cardiff"/>
    <x v="8"/>
    <x v="6"/>
    <x v="0"/>
    <n v="4"/>
    <n v="13"/>
    <n v="52"/>
    <n v="28.5"/>
    <n v="23.5"/>
    <x v="1"/>
    <x v="1"/>
  </r>
  <r>
    <s v="ORD-2025-0594"/>
    <x v="392"/>
    <s v="CUST-0016"/>
    <x v="102"/>
    <s v="Manchester"/>
    <x v="1"/>
    <x v="1"/>
    <x v="1"/>
    <n v="3"/>
    <n v="9.17"/>
    <n v="27.51"/>
    <n v="13.98"/>
    <n v="13.53"/>
    <x v="0"/>
    <x v="2"/>
  </r>
  <r>
    <s v="ORD-2025-0594"/>
    <x v="392"/>
    <s v="CUST-0016"/>
    <x v="102"/>
    <s v="Manchester"/>
    <x v="1"/>
    <x v="24"/>
    <x v="4"/>
    <n v="1"/>
    <n v="45.89"/>
    <n v="45.89"/>
    <n v="31.99"/>
    <n v="13.9"/>
    <x v="0"/>
    <x v="2"/>
  </r>
  <r>
    <s v="ORD-2025-0595"/>
    <x v="393"/>
    <s v="CUST-0004"/>
    <x v="69"/>
    <s v="Leeds"/>
    <x v="2"/>
    <x v="3"/>
    <x v="3"/>
    <n v="2"/>
    <n v="30.59"/>
    <n v="61.18"/>
    <n v="33.200000000000003"/>
    <n v="27.98"/>
    <x v="1"/>
    <x v="0"/>
  </r>
  <r>
    <s v="ORD-2025-0596"/>
    <x v="393"/>
    <s v="CUST-0034"/>
    <x v="11"/>
    <s v="Liverpool"/>
    <x v="1"/>
    <x v="27"/>
    <x v="0"/>
    <n v="1"/>
    <n v="25.49"/>
    <n v="25.49"/>
    <n v="13.07"/>
    <n v="12.42"/>
    <x v="4"/>
    <x v="0"/>
  </r>
  <r>
    <s v="ORD-2025-0597"/>
    <x v="393"/>
    <s v="CUST-0061"/>
    <x v="161"/>
    <s v="Newcastle"/>
    <x v="9"/>
    <x v="17"/>
    <x v="0"/>
    <n v="1"/>
    <n v="86.69"/>
    <n v="86.69"/>
    <n v="63.01"/>
    <n v="23.68"/>
    <x v="6"/>
    <x v="1"/>
  </r>
  <r>
    <s v="ORD-2025-0597"/>
    <x v="393"/>
    <s v="CUST-0061"/>
    <x v="161"/>
    <s v="Newcastle"/>
    <x v="9"/>
    <x v="0"/>
    <x v="0"/>
    <n v="1"/>
    <n v="27.53"/>
    <n v="27.53"/>
    <n v="15.35"/>
    <n v="12.18"/>
    <x v="6"/>
    <x v="1"/>
  </r>
  <r>
    <s v="ORD-2025-0598"/>
    <x v="393"/>
    <s v="CUST-0085"/>
    <x v="105"/>
    <s v="Cardiff"/>
    <x v="8"/>
    <x v="29"/>
    <x v="4"/>
    <n v="3"/>
    <n v="55.07"/>
    <n v="165.21"/>
    <n v="128.30000000000001"/>
    <n v="36.909999999999997"/>
    <x v="1"/>
    <x v="1"/>
  </r>
  <r>
    <s v="ORD-2025-0599"/>
    <x v="393"/>
    <s v="CUST-0143"/>
    <x v="138"/>
    <s v="London"/>
    <x v="0"/>
    <x v="1"/>
    <x v="1"/>
    <n v="3"/>
    <n v="7.34"/>
    <n v="22.02"/>
    <n v="11.89"/>
    <n v="10.130000000000001"/>
    <x v="3"/>
    <x v="0"/>
  </r>
  <r>
    <s v="ORD-2025-0600"/>
    <x v="394"/>
    <s v="CUST-0171"/>
    <x v="128"/>
    <s v="Southampton"/>
    <x v="3"/>
    <x v="3"/>
    <x v="3"/>
    <n v="1"/>
    <n v="30.59"/>
    <n v="30.59"/>
    <n v="16.600000000000001"/>
    <n v="13.99"/>
    <x v="4"/>
    <x v="0"/>
  </r>
  <r>
    <s v="ORD-2025-0600"/>
    <x v="394"/>
    <s v="CUST-0171"/>
    <x v="128"/>
    <s v="Southampton"/>
    <x v="3"/>
    <x v="26"/>
    <x v="3"/>
    <n v="1"/>
    <n v="106.58"/>
    <n v="106.58"/>
    <n v="81.78"/>
    <n v="24.8"/>
    <x v="4"/>
    <x v="0"/>
  </r>
  <r>
    <s v="ORD-2025-0601"/>
    <x v="395"/>
    <s v="CUST-0050"/>
    <x v="158"/>
    <s v="London"/>
    <x v="0"/>
    <x v="19"/>
    <x v="4"/>
    <n v="1"/>
    <n v="142.79"/>
    <n v="142.79"/>
    <n v="108.74"/>
    <n v="34.049999999999997"/>
    <x v="2"/>
    <x v="0"/>
  </r>
  <r>
    <s v="ORD-2025-0602"/>
    <x v="395"/>
    <s v="CUST-0066"/>
    <x v="137"/>
    <s v="London"/>
    <x v="0"/>
    <x v="22"/>
    <x v="2"/>
    <n v="2"/>
    <n v="30.28"/>
    <n v="60.56"/>
    <n v="37.49"/>
    <n v="23.07"/>
    <x v="4"/>
    <x v="0"/>
  </r>
  <r>
    <s v="ORD-2025-0602"/>
    <x v="395"/>
    <s v="CUST-0066"/>
    <x v="137"/>
    <s v="London"/>
    <x v="0"/>
    <x v="8"/>
    <x v="3"/>
    <n v="1"/>
    <n v="87.2"/>
    <n v="87.2"/>
    <n v="65.08"/>
    <n v="22.12"/>
    <x v="4"/>
    <x v="0"/>
  </r>
  <r>
    <s v="ORD-2025-0603"/>
    <x v="396"/>
    <s v="CUST-0044"/>
    <x v="31"/>
    <s v="Manchester"/>
    <x v="1"/>
    <x v="28"/>
    <x v="4"/>
    <n v="1"/>
    <n v="44.87"/>
    <n v="44.87"/>
    <n v="35.96"/>
    <n v="8.91"/>
    <x v="4"/>
    <x v="0"/>
  </r>
  <r>
    <s v="ORD-2025-0604"/>
    <x v="397"/>
    <s v="CUST-0041"/>
    <x v="78"/>
    <s v="Liverpool"/>
    <x v="1"/>
    <x v="9"/>
    <x v="3"/>
    <n v="2"/>
    <n v="35.69"/>
    <n v="71.38"/>
    <n v="44.41"/>
    <n v="26.97"/>
    <x v="1"/>
    <x v="0"/>
  </r>
  <r>
    <s v="ORD-2025-0605"/>
    <x v="398"/>
    <s v="CUST-0009"/>
    <x v="34"/>
    <s v="Brighton"/>
    <x v="3"/>
    <x v="15"/>
    <x v="4"/>
    <n v="1"/>
    <n v="40.79"/>
    <n v="40.79"/>
    <n v="24.37"/>
    <n v="16.420000000000002"/>
    <x v="4"/>
    <x v="1"/>
  </r>
  <r>
    <s v="ORD-2025-0606"/>
    <x v="399"/>
    <s v="CUST-0175"/>
    <x v="15"/>
    <s v="Southampton"/>
    <x v="3"/>
    <x v="10"/>
    <x v="4"/>
    <n v="2"/>
    <n v="57.11"/>
    <n v="114.22"/>
    <n v="92.95"/>
    <n v="21.27"/>
    <x v="0"/>
    <x v="0"/>
  </r>
  <r>
    <s v="ORD-2025-0607"/>
    <x v="400"/>
    <s v="CUST-0041"/>
    <x v="78"/>
    <s v="Liverpool"/>
    <x v="1"/>
    <x v="20"/>
    <x v="1"/>
    <n v="2"/>
    <n v="8.15"/>
    <n v="16.3"/>
    <n v="8.68"/>
    <n v="7.62"/>
    <x v="3"/>
    <x v="0"/>
  </r>
  <r>
    <s v="ORD-2025-0607"/>
    <x v="400"/>
    <s v="CUST-0041"/>
    <x v="78"/>
    <s v="Liverpool"/>
    <x v="1"/>
    <x v="17"/>
    <x v="0"/>
    <n v="2"/>
    <n v="86.69"/>
    <n v="173.38"/>
    <n v="121.68"/>
    <n v="51.7"/>
    <x v="3"/>
    <x v="0"/>
  </r>
  <r>
    <s v="ORD-2025-0608"/>
    <x v="400"/>
    <s v="CUST-0081"/>
    <x v="96"/>
    <s v="Southampton"/>
    <x v="3"/>
    <x v="28"/>
    <x v="4"/>
    <n v="2"/>
    <n v="44.87"/>
    <n v="89.74"/>
    <n v="71.91"/>
    <n v="17.829999999999998"/>
    <x v="1"/>
    <x v="0"/>
  </r>
  <r>
    <s v="ORD-2025-0609"/>
    <x v="401"/>
    <s v="CUST-0030"/>
    <x v="76"/>
    <s v="Sheffield"/>
    <x v="2"/>
    <x v="20"/>
    <x v="1"/>
    <n v="3"/>
    <n v="7.74"/>
    <n v="23.22"/>
    <n v="12.96"/>
    <n v="10.26"/>
    <x v="0"/>
    <x v="0"/>
  </r>
  <r>
    <s v="ORD-2025-0609"/>
    <x v="401"/>
    <s v="CUST-0030"/>
    <x v="76"/>
    <s v="Sheffield"/>
    <x v="2"/>
    <x v="10"/>
    <x v="4"/>
    <n v="2"/>
    <n v="71.39"/>
    <n v="142.78"/>
    <n v="94.52"/>
    <n v="48.26"/>
    <x v="0"/>
    <x v="0"/>
  </r>
  <r>
    <s v="ORD-2025-0610"/>
    <x v="402"/>
    <s v="CUST-0058"/>
    <x v="110"/>
    <s v="Cambridge"/>
    <x v="10"/>
    <x v="8"/>
    <x v="3"/>
    <n v="2"/>
    <n v="82.61"/>
    <n v="165.22"/>
    <n v="129.66"/>
    <n v="35.56"/>
    <x v="0"/>
    <x v="0"/>
  </r>
  <r>
    <s v="ORD-2025-0611"/>
    <x v="402"/>
    <s v="CUST-0140"/>
    <x v="162"/>
    <s v="Leeds"/>
    <x v="2"/>
    <x v="9"/>
    <x v="3"/>
    <n v="4"/>
    <n v="28.55"/>
    <n v="114.2"/>
    <n v="87.25"/>
    <n v="26.95"/>
    <x v="1"/>
    <x v="0"/>
  </r>
  <r>
    <s v="ORD-2025-0612"/>
    <x v="403"/>
    <s v="CUST-0092"/>
    <x v="60"/>
    <s v="London"/>
    <x v="0"/>
    <x v="26"/>
    <x v="3"/>
    <n v="1"/>
    <n v="106.58"/>
    <n v="106.58"/>
    <n v="81.78"/>
    <n v="24.8"/>
    <x v="0"/>
    <x v="0"/>
  </r>
  <r>
    <s v="ORD-2025-0613"/>
    <x v="404"/>
    <s v="CUST-0010"/>
    <x v="4"/>
    <s v="Brighton"/>
    <x v="3"/>
    <x v="23"/>
    <x v="1"/>
    <n v="1"/>
    <n v="76.489999999999995"/>
    <n v="76.489999999999995"/>
    <n v="52.16"/>
    <n v="24.33"/>
    <x v="4"/>
    <x v="3"/>
  </r>
  <r>
    <s v="ORD-2025-0614"/>
    <x v="404"/>
    <s v="CUST-0160"/>
    <x v="37"/>
    <s v="Leeds"/>
    <x v="2"/>
    <x v="14"/>
    <x v="2"/>
    <n v="1"/>
    <n v="20.39"/>
    <n v="20.39"/>
    <n v="10.25"/>
    <n v="10.14"/>
    <x v="4"/>
    <x v="3"/>
  </r>
  <r>
    <s v="ORD-2025-0614"/>
    <x v="404"/>
    <s v="CUST-0160"/>
    <x v="37"/>
    <s v="Leeds"/>
    <x v="2"/>
    <x v="6"/>
    <x v="0"/>
    <n v="1"/>
    <n v="15.29"/>
    <n v="15.29"/>
    <n v="7.08"/>
    <n v="8.2100000000000009"/>
    <x v="4"/>
    <x v="3"/>
  </r>
  <r>
    <s v="ORD-2025-0615"/>
    <x v="405"/>
    <s v="CUST-0155"/>
    <x v="57"/>
    <s v="Leeds"/>
    <x v="2"/>
    <x v="1"/>
    <x v="1"/>
    <n v="1"/>
    <n v="9.17"/>
    <n v="9.17"/>
    <n v="4.29"/>
    <n v="4.88"/>
    <x v="1"/>
    <x v="1"/>
  </r>
  <r>
    <s v="ORD-2025-0616"/>
    <x v="406"/>
    <s v="CUST-0014"/>
    <x v="49"/>
    <s v="Cardiff"/>
    <x v="8"/>
    <x v="27"/>
    <x v="0"/>
    <n v="3"/>
    <n v="25.49"/>
    <n v="76.47"/>
    <n v="39.21"/>
    <n v="37.26"/>
    <x v="0"/>
    <x v="0"/>
  </r>
  <r>
    <s v="ORD-2025-0617"/>
    <x v="406"/>
    <s v="CUST-0119"/>
    <x v="121"/>
    <s v="Leeds"/>
    <x v="2"/>
    <x v="17"/>
    <x v="0"/>
    <n v="3"/>
    <n v="69.349999999999994"/>
    <n v="208.05"/>
    <n v="184.86"/>
    <n v="23.19"/>
    <x v="4"/>
    <x v="1"/>
  </r>
  <r>
    <s v="ORD-2025-0617"/>
    <x v="406"/>
    <s v="CUST-0119"/>
    <x v="121"/>
    <s v="Leeds"/>
    <x v="2"/>
    <x v="7"/>
    <x v="4"/>
    <n v="4"/>
    <n v="24.22"/>
    <n v="96.88"/>
    <n v="63.55"/>
    <n v="33.33"/>
    <x v="4"/>
    <x v="1"/>
  </r>
  <r>
    <s v="ORD-2025-0618"/>
    <x v="407"/>
    <s v="CUST-0018"/>
    <x v="90"/>
    <s v="Leeds"/>
    <x v="2"/>
    <x v="11"/>
    <x v="4"/>
    <n v="3"/>
    <n v="87.2"/>
    <n v="261.60000000000002"/>
    <n v="225.26"/>
    <n v="36.340000000000003"/>
    <x v="4"/>
    <x v="3"/>
  </r>
  <r>
    <s v="ORD-2025-0619"/>
    <x v="407"/>
    <s v="CUST-0024"/>
    <x v="147"/>
    <s v="Sheffield"/>
    <x v="2"/>
    <x v="10"/>
    <x v="4"/>
    <n v="1"/>
    <n v="71.39"/>
    <n v="71.39"/>
    <n v="47.26"/>
    <n v="24.13"/>
    <x v="4"/>
    <x v="0"/>
  </r>
  <r>
    <s v="ORD-2025-0620"/>
    <x v="408"/>
    <s v="CUST-0035"/>
    <x v="12"/>
    <s v="London"/>
    <x v="0"/>
    <x v="23"/>
    <x v="1"/>
    <n v="1"/>
    <n v="61.19"/>
    <n v="61.19"/>
    <n v="54.53"/>
    <n v="6.66"/>
    <x v="0"/>
    <x v="2"/>
  </r>
  <r>
    <s v="ORD-2025-0621"/>
    <x v="408"/>
    <s v="CUST-0039"/>
    <x v="61"/>
    <s v="Cambridge"/>
    <x v="10"/>
    <x v="24"/>
    <x v="4"/>
    <n v="1"/>
    <n v="45.89"/>
    <n v="45.89"/>
    <n v="31.99"/>
    <n v="13.9"/>
    <x v="1"/>
    <x v="2"/>
  </r>
  <r>
    <s v="ORD-2025-0622"/>
    <x v="408"/>
    <s v="CUST-0165"/>
    <x v="154"/>
    <s v="London"/>
    <x v="0"/>
    <x v="14"/>
    <x v="2"/>
    <n v="3"/>
    <n v="20.39"/>
    <n v="61.17"/>
    <n v="30.15"/>
    <n v="31.02"/>
    <x v="1"/>
    <x v="0"/>
  </r>
  <r>
    <s v="ORD-2025-0622"/>
    <x v="408"/>
    <s v="CUST-0165"/>
    <x v="154"/>
    <s v="London"/>
    <x v="0"/>
    <x v="5"/>
    <x v="1"/>
    <n v="2"/>
    <n v="12.59"/>
    <n v="25.18"/>
    <n v="12.46"/>
    <n v="12.72"/>
    <x v="1"/>
    <x v="0"/>
  </r>
  <r>
    <s v="ORD-2025-0623"/>
    <x v="409"/>
    <s v="CUST-0009"/>
    <x v="34"/>
    <s v="Brighton"/>
    <x v="3"/>
    <x v="15"/>
    <x v="4"/>
    <n v="1"/>
    <n v="38.75"/>
    <n v="38.75"/>
    <n v="24.21"/>
    <n v="14.54"/>
    <x v="1"/>
    <x v="1"/>
  </r>
  <r>
    <s v="ORD-2025-0623"/>
    <x v="409"/>
    <s v="CUST-0009"/>
    <x v="34"/>
    <s v="Brighton"/>
    <x v="3"/>
    <x v="20"/>
    <x v="1"/>
    <n v="2"/>
    <n v="6.52"/>
    <n v="13.04"/>
    <n v="8.83"/>
    <n v="4.21"/>
    <x v="1"/>
    <x v="1"/>
  </r>
  <r>
    <s v="ORD-2025-0624"/>
    <x v="409"/>
    <s v="CUST-0172"/>
    <x v="52"/>
    <s v="London"/>
    <x v="0"/>
    <x v="16"/>
    <x v="3"/>
    <n v="2"/>
    <n v="173.39"/>
    <n v="346.78"/>
    <n v="286.55"/>
    <n v="60.23"/>
    <x v="1"/>
    <x v="1"/>
  </r>
  <r>
    <s v="ORD-2025-0624"/>
    <x v="409"/>
    <s v="CUST-0172"/>
    <x v="52"/>
    <s v="London"/>
    <x v="0"/>
    <x v="28"/>
    <x v="4"/>
    <n v="1"/>
    <n v="53.29"/>
    <n v="53.29"/>
    <n v="37.75"/>
    <n v="15.54"/>
    <x v="1"/>
    <x v="1"/>
  </r>
  <r>
    <s v="ORD-2025-0625"/>
    <x v="410"/>
    <s v="CUST-0045"/>
    <x v="127"/>
    <s v="Nottingham"/>
    <x v="5"/>
    <x v="2"/>
    <x v="2"/>
    <n v="1"/>
    <n v="71.39"/>
    <n v="71.39"/>
    <n v="49.05"/>
    <n v="22.34"/>
    <x v="6"/>
    <x v="1"/>
  </r>
  <r>
    <s v="ORD-2025-0626"/>
    <x v="411"/>
    <s v="CUST-0131"/>
    <x v="28"/>
    <s v="Liverpool"/>
    <x v="1"/>
    <x v="5"/>
    <x v="1"/>
    <n v="1"/>
    <n v="11.92"/>
    <n v="11.92"/>
    <n v="6.19"/>
    <n v="5.73"/>
    <x v="4"/>
    <x v="0"/>
  </r>
  <r>
    <s v="ORD-2025-0627"/>
    <x v="412"/>
    <s v="CUST-0030"/>
    <x v="76"/>
    <s v="Sheffield"/>
    <x v="2"/>
    <x v="22"/>
    <x v="2"/>
    <n v="1"/>
    <n v="33.65"/>
    <n v="33.65"/>
    <n v="19.77"/>
    <n v="13.88"/>
    <x v="3"/>
    <x v="1"/>
  </r>
  <r>
    <s v="ORD-2025-0628"/>
    <x v="412"/>
    <s v="CUST-0128"/>
    <x v="124"/>
    <s v="London"/>
    <x v="0"/>
    <x v="8"/>
    <x v="3"/>
    <n v="1"/>
    <n v="91.79"/>
    <n v="91.79"/>
    <n v="71.3"/>
    <n v="20.49"/>
    <x v="1"/>
    <x v="2"/>
  </r>
  <r>
    <s v="ORD-2025-0629"/>
    <x v="412"/>
    <s v="CUST-0159"/>
    <x v="163"/>
    <s v="Glasgow"/>
    <x v="6"/>
    <x v="2"/>
    <x v="2"/>
    <n v="2"/>
    <n v="71.39"/>
    <n v="142.78"/>
    <n v="94.52"/>
    <n v="48.26"/>
    <x v="0"/>
    <x v="0"/>
  </r>
  <r>
    <s v="ORD-2025-0630"/>
    <x v="413"/>
    <s v="CUST-0022"/>
    <x v="164"/>
    <s v="Glasgow"/>
    <x v="6"/>
    <x v="27"/>
    <x v="0"/>
    <n v="3"/>
    <n v="24.22"/>
    <n v="72.66"/>
    <n v="43.72"/>
    <n v="28.94"/>
    <x v="1"/>
    <x v="2"/>
  </r>
  <r>
    <s v="ORD-2025-0630"/>
    <x v="413"/>
    <s v="CUST-0022"/>
    <x v="164"/>
    <s v="Glasgow"/>
    <x v="6"/>
    <x v="8"/>
    <x v="3"/>
    <n v="1"/>
    <n v="91.79"/>
    <n v="91.79"/>
    <n v="71.3"/>
    <n v="20.49"/>
    <x v="1"/>
    <x v="2"/>
  </r>
  <r>
    <s v="ORD-2025-0631"/>
    <x v="413"/>
    <s v="CUST-0109"/>
    <x v="165"/>
    <s v="Birmingham"/>
    <x v="5"/>
    <x v="0"/>
    <x v="0"/>
    <n v="1"/>
    <n v="27.53"/>
    <n v="27.53"/>
    <n v="15.35"/>
    <n v="12.18"/>
    <x v="4"/>
    <x v="1"/>
  </r>
  <r>
    <s v="ORD-2025-0632"/>
    <x v="413"/>
    <s v="CUST-0173"/>
    <x v="29"/>
    <s v="Nottingham"/>
    <x v="5"/>
    <x v="10"/>
    <x v="4"/>
    <n v="2"/>
    <n v="57.11"/>
    <n v="114.22"/>
    <n v="95.81"/>
    <n v="18.41"/>
    <x v="1"/>
    <x v="1"/>
  </r>
  <r>
    <s v="ORD-2025-0633"/>
    <x v="414"/>
    <s v="CUST-0121"/>
    <x v="166"/>
    <s v="Glasgow"/>
    <x v="6"/>
    <x v="12"/>
    <x v="0"/>
    <n v="1"/>
    <n v="19.37"/>
    <n v="19.37"/>
    <n v="9.35"/>
    <n v="10.02"/>
    <x v="1"/>
    <x v="0"/>
  </r>
  <r>
    <s v="ORD-2025-0634"/>
    <x v="415"/>
    <s v="CUST-0046"/>
    <x v="95"/>
    <s v="London"/>
    <x v="0"/>
    <x v="5"/>
    <x v="1"/>
    <n v="3"/>
    <n v="12.59"/>
    <n v="37.770000000000003"/>
    <n v="18.690000000000001"/>
    <n v="19.079999999999998"/>
    <x v="1"/>
    <x v="0"/>
  </r>
  <r>
    <s v="ORD-2025-0634"/>
    <x v="415"/>
    <s v="CUST-0046"/>
    <x v="95"/>
    <s v="London"/>
    <x v="0"/>
    <x v="13"/>
    <x v="2"/>
    <n v="1"/>
    <n v="28.55"/>
    <n v="28.55"/>
    <n v="14.35"/>
    <n v="14.2"/>
    <x v="1"/>
    <x v="0"/>
  </r>
  <r>
    <s v="ORD-2025-0635"/>
    <x v="416"/>
    <s v="CUST-0004"/>
    <x v="69"/>
    <s v="Leeds"/>
    <x v="2"/>
    <x v="2"/>
    <x v="2"/>
    <n v="3"/>
    <n v="71.39"/>
    <n v="214.17"/>
    <n v="141.78"/>
    <n v="72.39"/>
    <x v="4"/>
    <x v="0"/>
  </r>
  <r>
    <s v="ORD-2025-0635"/>
    <x v="416"/>
    <s v="CUST-0004"/>
    <x v="69"/>
    <s v="Leeds"/>
    <x v="2"/>
    <x v="7"/>
    <x v="4"/>
    <n v="1"/>
    <n v="24.22"/>
    <n v="24.22"/>
    <n v="15.28"/>
    <n v="8.94"/>
    <x v="4"/>
    <x v="0"/>
  </r>
  <r>
    <s v="ORD-2025-0636"/>
    <x v="416"/>
    <s v="CUST-0037"/>
    <x v="44"/>
    <s v="London"/>
    <x v="0"/>
    <x v="20"/>
    <x v="1"/>
    <n v="1"/>
    <n v="8.15"/>
    <n v="8.15"/>
    <n v="4.34"/>
    <n v="3.81"/>
    <x v="4"/>
    <x v="0"/>
  </r>
  <r>
    <s v="ORD-2025-0637"/>
    <x v="416"/>
    <s v="CUST-0082"/>
    <x v="115"/>
    <s v="Leeds"/>
    <x v="2"/>
    <x v="1"/>
    <x v="1"/>
    <n v="1"/>
    <n v="9.17"/>
    <n v="9.17"/>
    <n v="4.0599999999999996"/>
    <n v="5.1100000000000003"/>
    <x v="4"/>
    <x v="0"/>
  </r>
  <r>
    <s v="ORD-2025-0638"/>
    <x v="417"/>
    <s v="CUST-0007"/>
    <x v="107"/>
    <s v="Southampton"/>
    <x v="3"/>
    <x v="12"/>
    <x v="0"/>
    <n v="1"/>
    <n v="15.5"/>
    <n v="15.5"/>
    <n v="9.5299999999999994"/>
    <n v="5.97"/>
    <x v="6"/>
    <x v="1"/>
  </r>
  <r>
    <s v="ORD-2025-0639"/>
    <x v="417"/>
    <s v="CUST-0049"/>
    <x v="55"/>
    <s v="Cambridge"/>
    <x v="10"/>
    <x v="1"/>
    <x v="1"/>
    <n v="1"/>
    <n v="9.17"/>
    <n v="9.17"/>
    <n v="4.0599999999999996"/>
    <n v="5.1100000000000003"/>
    <x v="1"/>
    <x v="0"/>
  </r>
  <r>
    <s v="ORD-2025-0640"/>
    <x v="418"/>
    <s v="CUST-0003"/>
    <x v="45"/>
    <s v="Glasgow"/>
    <x v="6"/>
    <x v="10"/>
    <x v="4"/>
    <n v="1"/>
    <n v="71.39"/>
    <n v="71.39"/>
    <n v="47.26"/>
    <n v="24.13"/>
    <x v="4"/>
    <x v="0"/>
  </r>
  <r>
    <s v="ORD-2025-0641"/>
    <x v="418"/>
    <s v="CUST-0064"/>
    <x v="48"/>
    <s v="Leeds"/>
    <x v="2"/>
    <x v="5"/>
    <x v="1"/>
    <n v="2"/>
    <n v="13.25"/>
    <n v="26.5"/>
    <n v="12.53"/>
    <n v="13.97"/>
    <x v="4"/>
    <x v="0"/>
  </r>
  <r>
    <s v="ORD-2025-0642"/>
    <x v="419"/>
    <s v="CUST-0160"/>
    <x v="37"/>
    <s v="Leeds"/>
    <x v="2"/>
    <x v="8"/>
    <x v="3"/>
    <n v="1"/>
    <n v="87.2"/>
    <n v="87.2"/>
    <n v="67.260000000000005"/>
    <n v="19.940000000000001"/>
    <x v="1"/>
    <x v="1"/>
  </r>
  <r>
    <s v="ORD-2025-0642"/>
    <x v="419"/>
    <s v="CUST-0160"/>
    <x v="37"/>
    <s v="Leeds"/>
    <x v="2"/>
    <x v="1"/>
    <x v="1"/>
    <n v="2"/>
    <n v="9.17"/>
    <n v="18.34"/>
    <n v="8.58"/>
    <n v="9.76"/>
    <x v="1"/>
    <x v="1"/>
  </r>
  <r>
    <s v="ORD-2025-0642"/>
    <x v="419"/>
    <s v="CUST-0160"/>
    <x v="37"/>
    <s v="Leeds"/>
    <x v="2"/>
    <x v="20"/>
    <x v="1"/>
    <n v="1"/>
    <n v="8.15"/>
    <n v="8.15"/>
    <n v="4.54"/>
    <n v="3.61"/>
    <x v="1"/>
    <x v="1"/>
  </r>
  <r>
    <s v="ORD-2025-0643"/>
    <x v="420"/>
    <s v="CUST-0016"/>
    <x v="102"/>
    <s v="Manchester"/>
    <x v="1"/>
    <x v="2"/>
    <x v="2"/>
    <n v="2"/>
    <n v="57.11"/>
    <n v="114.22"/>
    <n v="100.38"/>
    <n v="13.84"/>
    <x v="4"/>
    <x v="2"/>
  </r>
  <r>
    <s v="ORD-2025-0643"/>
    <x v="420"/>
    <s v="CUST-0016"/>
    <x v="102"/>
    <s v="Manchester"/>
    <x v="1"/>
    <x v="0"/>
    <x v="0"/>
    <n v="2"/>
    <n v="27.53"/>
    <n v="55.06"/>
    <n v="32.909999999999997"/>
    <n v="22.15"/>
    <x v="4"/>
    <x v="2"/>
  </r>
  <r>
    <s v="ORD-2025-0644"/>
    <x v="421"/>
    <s v="CUST-0015"/>
    <x v="30"/>
    <s v="London"/>
    <x v="0"/>
    <x v="3"/>
    <x v="3"/>
    <n v="2"/>
    <n v="27.53"/>
    <n v="55.06"/>
    <n v="32.86"/>
    <n v="22.2"/>
    <x v="1"/>
    <x v="0"/>
  </r>
  <r>
    <s v="ORD-2025-0645"/>
    <x v="422"/>
    <s v="CUST-0050"/>
    <x v="158"/>
    <s v="London"/>
    <x v="0"/>
    <x v="7"/>
    <x v="4"/>
    <n v="1"/>
    <n v="25.49"/>
    <n v="25.49"/>
    <n v="15.99"/>
    <n v="9.5"/>
    <x v="1"/>
    <x v="1"/>
  </r>
  <r>
    <s v="ORD-2025-0645"/>
    <x v="422"/>
    <s v="CUST-0050"/>
    <x v="158"/>
    <s v="London"/>
    <x v="0"/>
    <x v="8"/>
    <x v="3"/>
    <n v="3"/>
    <n v="91.79"/>
    <n v="275.37"/>
    <n v="202.88"/>
    <n v="72.489999999999995"/>
    <x v="1"/>
    <x v="1"/>
  </r>
  <r>
    <s v="ORD-2025-0645"/>
    <x v="422"/>
    <s v="CUST-0050"/>
    <x v="158"/>
    <s v="London"/>
    <x v="0"/>
    <x v="25"/>
    <x v="1"/>
    <n v="2"/>
    <n v="193.79"/>
    <n v="387.58"/>
    <n v="331.43"/>
    <n v="56.15"/>
    <x v="1"/>
    <x v="1"/>
  </r>
  <r>
    <s v="ORD-2025-0646"/>
    <x v="423"/>
    <s v="CUST-0021"/>
    <x v="58"/>
    <s v="Edinburgh"/>
    <x v="6"/>
    <x v="5"/>
    <x v="1"/>
    <n v="1"/>
    <n v="13.25"/>
    <n v="13.25"/>
    <n v="6.4"/>
    <n v="6.85"/>
    <x v="4"/>
    <x v="3"/>
  </r>
  <r>
    <s v="ORD-2025-0646"/>
    <x v="423"/>
    <s v="CUST-0021"/>
    <x v="58"/>
    <s v="Edinburgh"/>
    <x v="6"/>
    <x v="15"/>
    <x v="4"/>
    <n v="4"/>
    <n v="40.79"/>
    <n v="163.16"/>
    <n v="95.03"/>
    <n v="68.13"/>
    <x v="4"/>
    <x v="3"/>
  </r>
  <r>
    <s v="ORD-2025-0647"/>
    <x v="423"/>
    <s v="CUST-0102"/>
    <x v="51"/>
    <s v="London"/>
    <x v="0"/>
    <x v="21"/>
    <x v="1"/>
    <n v="2"/>
    <n v="116.27"/>
    <n v="232.54"/>
    <n v="180.86"/>
    <n v="51.68"/>
    <x v="1"/>
    <x v="0"/>
  </r>
  <r>
    <s v="ORD-2025-0648"/>
    <x v="424"/>
    <s v="CUST-0048"/>
    <x v="89"/>
    <s v="Belfast"/>
    <x v="4"/>
    <x v="28"/>
    <x v="4"/>
    <n v="1"/>
    <n v="44.87"/>
    <n v="44.87"/>
    <n v="35.96"/>
    <n v="8.91"/>
    <x v="1"/>
    <x v="0"/>
  </r>
  <r>
    <s v="ORD-2025-0649"/>
    <x v="425"/>
    <s v="CUST-0006"/>
    <x v="71"/>
    <s v="Nottingham"/>
    <x v="5"/>
    <x v="16"/>
    <x v="3"/>
    <n v="1"/>
    <n v="164.72"/>
    <n v="164.72"/>
    <n v="138.46"/>
    <n v="26.26"/>
    <x v="0"/>
    <x v="0"/>
  </r>
  <r>
    <s v="ORD-2025-0649"/>
    <x v="425"/>
    <s v="CUST-0006"/>
    <x v="71"/>
    <s v="Nottingham"/>
    <x v="5"/>
    <x v="1"/>
    <x v="1"/>
    <n v="2"/>
    <n v="8.25"/>
    <n v="16.5"/>
    <n v="8.02"/>
    <n v="8.48"/>
    <x v="0"/>
    <x v="0"/>
  </r>
  <r>
    <s v="ORD-2025-0650"/>
    <x v="426"/>
    <s v="CUST-0049"/>
    <x v="55"/>
    <s v="Cambridge"/>
    <x v="10"/>
    <x v="20"/>
    <x v="1"/>
    <n v="1"/>
    <n v="7.33"/>
    <n v="7.33"/>
    <n v="4.3"/>
    <n v="3.0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17FF5-4AEB-47E6-9FA1-C460ED89C43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65:G70" firstHeaderRow="0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dataField="1" numFmtId="165" showAll="0"/>
    <pivotField numFmtId="165" showAll="0"/>
    <pivotField dataField="1" numFmtId="165"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4"/>
  </rowFields>
  <rowItems count="5">
    <i>
      <x v="1"/>
    </i>
    <i>
      <x v="3"/>
    </i>
    <i>
      <x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A4A21-7483-494B-9117-A5E7F57C63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4:B46" firstHeaderRow="1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axis="axisRow" showAll="0" sortType="descending">
      <items count="12">
        <item x="10"/>
        <item x="0"/>
        <item x="5"/>
        <item x="9"/>
        <item x="1"/>
        <item x="4"/>
        <item x="6"/>
        <item x="3"/>
        <item x="7"/>
        <item x="8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3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2">
    <i>
      <x v="10"/>
    </i>
    <i>
      <x v="4"/>
    </i>
    <i>
      <x v="7"/>
    </i>
    <i>
      <x v="1"/>
    </i>
    <i>
      <x v="2"/>
    </i>
    <i>
      <x v="6"/>
    </i>
    <i>
      <x v="8"/>
    </i>
    <i>
      <x v="9"/>
    </i>
    <i>
      <x/>
    </i>
    <i>
      <x v="3"/>
    </i>
    <i>
      <x v="5"/>
    </i>
    <i t="grand">
      <x/>
    </i>
  </rowItems>
  <colItems count="1">
    <i/>
  </colItems>
  <dataFields count="1">
    <dataField name="Sum of Revenue" fld="10" baseField="5" baseItem="0" numFmtId="16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CB29E-6DE1-4FF6-A615-310BBDF4C8D9}" name="PivotTable7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50:F61" firstHeaderRow="1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axis="axisRow" showAll="0" measureFilter="1">
      <items count="168">
        <item x="64"/>
        <item x="94"/>
        <item x="82"/>
        <item x="141"/>
        <item x="51"/>
        <item x="17"/>
        <item x="162"/>
        <item x="102"/>
        <item x="5"/>
        <item x="3"/>
        <item x="135"/>
        <item x="35"/>
        <item x="93"/>
        <item x="0"/>
        <item x="27"/>
        <item x="98"/>
        <item x="53"/>
        <item x="4"/>
        <item x="55"/>
        <item x="83"/>
        <item x="122"/>
        <item x="92"/>
        <item x="13"/>
        <item x="58"/>
        <item x="114"/>
        <item x="43"/>
        <item x="124"/>
        <item x="105"/>
        <item x="32"/>
        <item x="116"/>
        <item x="8"/>
        <item x="129"/>
        <item x="157"/>
        <item x="76"/>
        <item x="50"/>
        <item x="11"/>
        <item x="156"/>
        <item x="126"/>
        <item x="16"/>
        <item x="115"/>
        <item x="78"/>
        <item x="73"/>
        <item x="161"/>
        <item x="112"/>
        <item x="140"/>
        <item x="87"/>
        <item x="70"/>
        <item x="121"/>
        <item x="60"/>
        <item x="66"/>
        <item x="33"/>
        <item x="91"/>
        <item x="149"/>
        <item x="72"/>
        <item x="52"/>
        <item x="166"/>
        <item x="88"/>
        <item x="44"/>
        <item x="56"/>
        <item x="125"/>
        <item x="160"/>
        <item x="100"/>
        <item x="37"/>
        <item x="28"/>
        <item x="127"/>
        <item x="150"/>
        <item x="20"/>
        <item x="81"/>
        <item x="95"/>
        <item x="45"/>
        <item x="21"/>
        <item x="110"/>
        <item x="123"/>
        <item x="119"/>
        <item x="108"/>
        <item x="59"/>
        <item x="113"/>
        <item x="29"/>
        <item x="96"/>
        <item x="39"/>
        <item x="10"/>
        <item x="2"/>
        <item x="139"/>
        <item x="30"/>
        <item x="159"/>
        <item x="104"/>
        <item x="164"/>
        <item x="14"/>
        <item x="23"/>
        <item x="42"/>
        <item x="138"/>
        <item x="128"/>
        <item x="47"/>
        <item x="145"/>
        <item x="75"/>
        <item x="99"/>
        <item x="151"/>
        <item x="153"/>
        <item x="152"/>
        <item x="41"/>
        <item x="15"/>
        <item x="134"/>
        <item x="31"/>
        <item x="131"/>
        <item x="148"/>
        <item x="143"/>
        <item x="165"/>
        <item x="7"/>
        <item x="84"/>
        <item x="19"/>
        <item x="109"/>
        <item x="89"/>
        <item x="106"/>
        <item x="155"/>
        <item x="57"/>
        <item x="132"/>
        <item x="34"/>
        <item x="147"/>
        <item x="111"/>
        <item x="74"/>
        <item x="71"/>
        <item x="144"/>
        <item x="48"/>
        <item x="80"/>
        <item x="6"/>
        <item x="90"/>
        <item x="36"/>
        <item x="130"/>
        <item x="85"/>
        <item x="69"/>
        <item x="79"/>
        <item x="26"/>
        <item x="1"/>
        <item x="118"/>
        <item x="12"/>
        <item x="62"/>
        <item x="61"/>
        <item x="133"/>
        <item x="163"/>
        <item x="67"/>
        <item x="46"/>
        <item x="18"/>
        <item x="54"/>
        <item x="49"/>
        <item x="38"/>
        <item x="40"/>
        <item x="97"/>
        <item x="136"/>
        <item x="65"/>
        <item x="86"/>
        <item x="9"/>
        <item x="137"/>
        <item x="22"/>
        <item x="117"/>
        <item x="101"/>
        <item x="68"/>
        <item x="25"/>
        <item x="142"/>
        <item x="158"/>
        <item x="146"/>
        <item x="154"/>
        <item x="107"/>
        <item x="77"/>
        <item x="120"/>
        <item x="24"/>
        <item x="103"/>
        <item x="63"/>
        <item t="default"/>
      </items>
    </pivotField>
    <pivotField showAll="0"/>
    <pivotField showAll="0"/>
    <pivotField showAll="0"/>
    <pivotField showAll="0"/>
    <pivotField numFmtId="3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11">
    <i>
      <x v="9"/>
    </i>
    <i>
      <x v="23"/>
    </i>
    <i>
      <x v="38"/>
    </i>
    <i>
      <x v="87"/>
    </i>
    <i>
      <x v="109"/>
    </i>
    <i>
      <x v="116"/>
    </i>
    <i>
      <x v="125"/>
    </i>
    <i>
      <x v="129"/>
    </i>
    <i>
      <x v="143"/>
    </i>
    <i>
      <x v="150"/>
    </i>
    <i t="grand">
      <x/>
    </i>
  </rowItems>
  <colItems count="1">
    <i/>
  </colItems>
  <dataFields count="1">
    <dataField name="Sum of Revenue" fld="10" baseField="0" baseItem="0" numFmtId="165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D8B19-1A34-457D-999C-9C3D9227EE3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81" firstHeaderRow="0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axis="axisRow" showAll="0" sortType="descending">
      <items count="31">
        <item x="17"/>
        <item x="23"/>
        <item x="8"/>
        <item x="28"/>
        <item x="22"/>
        <item x="26"/>
        <item x="16"/>
        <item x="9"/>
        <item x="25"/>
        <item x="4"/>
        <item x="0"/>
        <item x="29"/>
        <item x="18"/>
        <item x="1"/>
        <item x="2"/>
        <item x="6"/>
        <item x="15"/>
        <item x="3"/>
        <item x="10"/>
        <item x="19"/>
        <item x="5"/>
        <item x="11"/>
        <item x="20"/>
        <item x="12"/>
        <item x="14"/>
        <item x="21"/>
        <item x="24"/>
        <item x="13"/>
        <item x="7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3" showAll="0"/>
    <pivotField numFmtId="165" showAll="0"/>
    <pivotField dataField="1" numFmtId="165" showAll="0"/>
    <pivotField numFmtId="165" showAll="0"/>
    <pivotField dataField="1" numFmtId="165"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31">
    <i>
      <x v="5"/>
    </i>
    <i>
      <x v="21"/>
    </i>
    <i>
      <x v="8"/>
    </i>
    <i>
      <x v="19"/>
    </i>
    <i>
      <x v="14"/>
    </i>
    <i>
      <x v="26"/>
    </i>
    <i>
      <x v="1"/>
    </i>
    <i>
      <x v="2"/>
    </i>
    <i>
      <x v="6"/>
    </i>
    <i>
      <x v="25"/>
    </i>
    <i>
      <x/>
    </i>
    <i>
      <x v="11"/>
    </i>
    <i>
      <x v="3"/>
    </i>
    <i>
      <x v="18"/>
    </i>
    <i>
      <x v="16"/>
    </i>
    <i>
      <x v="10"/>
    </i>
    <i>
      <x v="9"/>
    </i>
    <i>
      <x v="12"/>
    </i>
    <i>
      <x v="28"/>
    </i>
    <i>
      <x v="7"/>
    </i>
    <i>
      <x v="29"/>
    </i>
    <i>
      <x v="4"/>
    </i>
    <i>
      <x v="17"/>
    </i>
    <i>
      <x v="27"/>
    </i>
    <i>
      <x v="15"/>
    </i>
    <i>
      <x v="24"/>
    </i>
    <i>
      <x v="23"/>
    </i>
    <i>
      <x v="20"/>
    </i>
    <i>
      <x v="13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0" baseField="0" baseItem="0" numFmtId="165"/>
    <dataField name="Sum of Profit" fld="1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73A39-3003-4E6E-8B76-9E8BD45BD51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4:H61" firstHeaderRow="1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dataField="1" numFmtId="165" showAll="0"/>
    <pivotField numFmtId="165" showAll="0"/>
    <pivotField numFmtId="165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16"/>
    <field x="15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10" baseField="0" baseItem="0" numFmtId="165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3CC99-B5E7-4EC0-A1AE-C54870BF5C4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4:E40" firstHeaderRow="1" firstDataRow="1" firstDataCol="1"/>
  <pivotFields count="17">
    <pivotField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6">
    <i>
      <x/>
    </i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um of Profit" fld="12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5D2BE1-30BF-4B61-982A-C0DE0D68822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73:F81" firstHeaderRow="1" firstDataRow="1" firstDataCol="1"/>
  <pivotFields count="17">
    <pivotField dataField="1" showAll="0"/>
    <pivotField numFmtId="16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numFmtId="165" showAll="0"/>
    <pivotField numFmtId="165" showAll="0"/>
    <pivotField numFmtId="165" showAll="0"/>
    <pivotField axis="axisRow" showAll="0" sortType="descending">
      <items count="8">
        <item x="3"/>
        <item x="5"/>
        <item x="6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3"/>
  </rowFields>
  <rowItems count="8">
    <i>
      <x v="3"/>
    </i>
    <i>
      <x v="4"/>
    </i>
    <i>
      <x v="6"/>
    </i>
    <i>
      <x/>
    </i>
    <i>
      <x v="2"/>
    </i>
    <i>
      <x v="5"/>
    </i>
    <i>
      <x v="1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Data" displayName="RetailSalesData" ref="A1:O901" totalsRowShown="0">
  <autoFilter ref="A1:O901" xr:uid="{00000000-0009-0000-0100-000001000000}"/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ustomer ID"/>
    <tableColumn id="4" xr3:uid="{00000000-0010-0000-0000-000004000000}" name="Customer Name"/>
    <tableColumn id="5" xr3:uid="{00000000-0010-0000-0000-000005000000}" name="City"/>
    <tableColumn id="6" xr3:uid="{00000000-0010-0000-0000-000006000000}" name="Region"/>
    <tableColumn id="7" xr3:uid="{00000000-0010-0000-0000-000007000000}" name="Product"/>
    <tableColumn id="8" xr3:uid="{00000000-0010-0000-0000-000008000000}" name="Category"/>
    <tableColumn id="9" xr3:uid="{00000000-0010-0000-0000-000009000000}" name="Quantity"/>
    <tableColumn id="10" xr3:uid="{00000000-0010-0000-0000-00000A000000}" name="Unit Price"/>
    <tableColumn id="11" xr3:uid="{00000000-0010-0000-0000-00000B000000}" name="Revenue"/>
    <tableColumn id="12" xr3:uid="{00000000-0010-0000-0000-00000C000000}" name="Cost"/>
    <tableColumn id="13" xr3:uid="{00000000-0010-0000-0000-00000D000000}" name="Profit"/>
    <tableColumn id="14" xr3:uid="{00000000-0010-0000-0000-00000E000000}" name="Payment Method"/>
    <tableColumn id="15" xr3:uid="{00000000-0010-0000-0000-00000F000000}" name="Sales Channe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tailSalesDictionary" displayName="RetailSalesDictionary" ref="A4:F19" totalsRowShown="0">
  <autoFilter ref="A4:F19" xr:uid="{00000000-0009-0000-0100-000002000000}"/>
  <tableColumns count="6">
    <tableColumn id="1" xr3:uid="{00000000-0010-0000-0100-000001000000}" name="Field"/>
    <tableColumn id="2" xr3:uid="{00000000-0010-0000-0100-000002000000}" name="Definition"/>
    <tableColumn id="3" xr3:uid="{00000000-0010-0000-0100-000003000000}" name="Excel type"/>
    <tableColumn id="4" xr3:uid="{00000000-0010-0000-0100-000004000000}" name="MySQL suggestion"/>
    <tableColumn id="5" xr3:uid="{00000000-0010-0000-0100-000005000000}" name="Example"/>
    <tableColumn id="6" xr3:uid="{00000000-0010-0000-0100-000006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3D2E"/>
  </sheetPr>
  <dimension ref="A1:L30"/>
  <sheetViews>
    <sheetView showGridLines="0" tabSelected="1" topLeftCell="A10" workbookViewId="0">
      <selection activeCell="F28" sqref="F28"/>
    </sheetView>
  </sheetViews>
  <sheetFormatPr defaultRowHeight="15" x14ac:dyDescent="0.25"/>
  <cols>
    <col min="1" max="1" width="10" customWidth="1"/>
    <col min="2" max="2" width="34" customWidth="1"/>
    <col min="3" max="3" width="22" customWidth="1"/>
    <col min="4" max="4" width="16" customWidth="1"/>
    <col min="5" max="8" width="12" customWidth="1"/>
    <col min="9" max="9" width="3" customWidth="1"/>
    <col min="10" max="10" width="10" customWidth="1"/>
    <col min="11" max="11" width="33" customWidth="1"/>
    <col min="12" max="12" width="16" customWidth="1"/>
  </cols>
  <sheetData>
    <row r="1" spans="1:12" ht="27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1.9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4" t="s">
        <v>2</v>
      </c>
      <c r="B4" s="5"/>
      <c r="C4" s="5"/>
      <c r="D4" s="5"/>
      <c r="E4" s="5"/>
      <c r="F4" s="5"/>
      <c r="G4" s="5"/>
      <c r="H4" s="6"/>
      <c r="I4" s="1"/>
      <c r="J4" s="4" t="s">
        <v>3</v>
      </c>
      <c r="K4" s="5"/>
      <c r="L4" s="6"/>
    </row>
    <row r="5" spans="1:12" ht="27" customHeight="1" x14ac:dyDescent="0.25">
      <c r="A5" s="7" t="s">
        <v>4</v>
      </c>
      <c r="B5" s="87" t="s">
        <v>5</v>
      </c>
      <c r="C5" s="87"/>
      <c r="D5" s="87"/>
      <c r="E5" s="87"/>
      <c r="F5" s="87"/>
      <c r="G5" s="87"/>
      <c r="H5" s="88"/>
      <c r="I5" s="1"/>
      <c r="J5" s="19" t="s">
        <v>6</v>
      </c>
      <c r="K5" s="97" t="s">
        <v>7</v>
      </c>
      <c r="L5" s="97"/>
    </row>
    <row r="6" spans="1:12" ht="27" customHeight="1" x14ac:dyDescent="0.25">
      <c r="A6" s="8" t="s">
        <v>8</v>
      </c>
      <c r="B6" s="89" t="s">
        <v>9</v>
      </c>
      <c r="C6" s="89"/>
      <c r="D6" s="89"/>
      <c r="E6" s="89"/>
      <c r="F6" s="89"/>
      <c r="G6" s="89"/>
      <c r="H6" s="90"/>
      <c r="I6" s="1"/>
      <c r="J6" s="20" t="s">
        <v>10</v>
      </c>
      <c r="K6" s="97" t="s">
        <v>11</v>
      </c>
      <c r="L6" s="97"/>
    </row>
    <row r="7" spans="1:12" ht="27" customHeight="1" x14ac:dyDescent="0.25">
      <c r="A7" s="8" t="s">
        <v>12</v>
      </c>
      <c r="B7" s="89" t="s">
        <v>13</v>
      </c>
      <c r="C7" s="89"/>
      <c r="D7" s="89"/>
      <c r="E7" s="89"/>
      <c r="F7" s="89"/>
      <c r="G7" s="89"/>
      <c r="H7" s="90"/>
      <c r="I7" s="1"/>
      <c r="J7" s="21" t="s">
        <v>14</v>
      </c>
      <c r="K7" s="97" t="s">
        <v>15</v>
      </c>
      <c r="L7" s="97"/>
    </row>
    <row r="8" spans="1:12" ht="27" customHeight="1" x14ac:dyDescent="0.25">
      <c r="A8" s="9" t="s">
        <v>16</v>
      </c>
      <c r="B8" s="91" t="s">
        <v>17</v>
      </c>
      <c r="C8" s="91"/>
      <c r="D8" s="91"/>
      <c r="E8" s="91"/>
      <c r="F8" s="91"/>
      <c r="G8" s="91"/>
      <c r="H8" s="92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4" t="s">
        <v>18</v>
      </c>
      <c r="K9" s="5"/>
      <c r="L9" s="6"/>
    </row>
    <row r="10" spans="1:12" ht="30.95" customHeight="1" x14ac:dyDescent="0.25">
      <c r="A10" s="4" t="s">
        <v>19</v>
      </c>
      <c r="B10" s="5"/>
      <c r="C10" s="5"/>
      <c r="D10" s="5"/>
      <c r="E10" s="5"/>
      <c r="F10" s="5"/>
      <c r="G10" s="5"/>
      <c r="H10" s="6"/>
      <c r="I10" s="1"/>
      <c r="J10" s="22">
        <v>1</v>
      </c>
      <c r="K10" s="93" t="s">
        <v>20</v>
      </c>
      <c r="L10" s="98"/>
    </row>
    <row r="11" spans="1:12" ht="30.95" customHeight="1" x14ac:dyDescent="0.25">
      <c r="A11" s="13">
        <v>1</v>
      </c>
      <c r="B11" s="93" t="s">
        <v>21</v>
      </c>
      <c r="C11" s="93"/>
      <c r="D11" s="93"/>
      <c r="E11" s="93"/>
      <c r="F11" s="93"/>
      <c r="G11" s="93"/>
      <c r="H11" s="93"/>
      <c r="I11" s="1"/>
      <c r="J11" s="23">
        <v>2</v>
      </c>
      <c r="K11" s="94" t="s">
        <v>22</v>
      </c>
      <c r="L11" s="99"/>
    </row>
    <row r="12" spans="1:12" ht="30.95" customHeight="1" x14ac:dyDescent="0.25">
      <c r="A12" s="12">
        <v>2</v>
      </c>
      <c r="B12" s="94" t="s">
        <v>23</v>
      </c>
      <c r="C12" s="94"/>
      <c r="D12" s="94"/>
      <c r="E12" s="94"/>
      <c r="F12" s="94"/>
      <c r="G12" s="94"/>
      <c r="H12" s="94"/>
      <c r="I12" s="1"/>
      <c r="J12" s="24">
        <v>3</v>
      </c>
      <c r="K12" s="95" t="s">
        <v>24</v>
      </c>
      <c r="L12" s="106"/>
    </row>
    <row r="13" spans="1:12" ht="30.95" customHeight="1" x14ac:dyDescent="0.25">
      <c r="A13" s="11">
        <v>3</v>
      </c>
      <c r="B13" s="95" t="s">
        <v>25</v>
      </c>
      <c r="C13" s="95"/>
      <c r="D13" s="95"/>
      <c r="E13" s="95"/>
      <c r="F13" s="95"/>
      <c r="G13" s="95"/>
      <c r="H13" s="95"/>
      <c r="I13" s="1"/>
      <c r="J13" s="23">
        <v>4</v>
      </c>
      <c r="K13" s="94" t="s">
        <v>26</v>
      </c>
      <c r="L13" s="99"/>
    </row>
    <row r="14" spans="1:12" ht="30.95" customHeight="1" x14ac:dyDescent="0.25">
      <c r="A14" s="12">
        <v>4</v>
      </c>
      <c r="B14" s="94" t="s">
        <v>27</v>
      </c>
      <c r="C14" s="94"/>
      <c r="D14" s="94"/>
      <c r="E14" s="94"/>
      <c r="F14" s="94"/>
      <c r="G14" s="94"/>
      <c r="H14" s="94"/>
      <c r="I14" s="1"/>
      <c r="J14" s="25">
        <v>5</v>
      </c>
      <c r="K14" s="107" t="s">
        <v>28</v>
      </c>
      <c r="L14" s="108"/>
    </row>
    <row r="15" spans="1:12" ht="23.1" customHeight="1" x14ac:dyDescent="0.25">
      <c r="A15" s="11">
        <v>5</v>
      </c>
      <c r="B15" s="95" t="s">
        <v>29</v>
      </c>
      <c r="C15" s="95"/>
      <c r="D15" s="95"/>
      <c r="E15" s="95"/>
      <c r="F15" s="95"/>
      <c r="G15" s="95"/>
      <c r="H15" s="95"/>
      <c r="I15" s="1"/>
      <c r="J15" s="1"/>
      <c r="K15" s="1"/>
      <c r="L15" s="1"/>
    </row>
    <row r="16" spans="1:12" ht="23.1" customHeight="1" x14ac:dyDescent="0.25">
      <c r="A16" s="14">
        <v>6</v>
      </c>
      <c r="B16" s="96" t="s">
        <v>30</v>
      </c>
      <c r="C16" s="96"/>
      <c r="D16" s="96"/>
      <c r="E16" s="96"/>
      <c r="F16" s="96"/>
      <c r="G16" s="96"/>
      <c r="H16" s="96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4" t="s">
        <v>31</v>
      </c>
      <c r="K17" s="5"/>
      <c r="L17" s="6"/>
    </row>
    <row r="18" spans="1:12" ht="24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22">
        <v>1</v>
      </c>
      <c r="K18" s="109" t="s">
        <v>32</v>
      </c>
      <c r="L18" s="110"/>
    </row>
    <row r="19" spans="1:12" ht="24" customHeight="1" x14ac:dyDescent="0.25">
      <c r="A19" s="4" t="s">
        <v>33</v>
      </c>
      <c r="B19" s="5"/>
      <c r="C19" s="5"/>
      <c r="D19" s="5"/>
      <c r="E19" s="5"/>
      <c r="F19" s="5"/>
      <c r="G19" s="5"/>
      <c r="H19" s="6"/>
      <c r="I19" s="1"/>
      <c r="J19" s="23">
        <v>2</v>
      </c>
      <c r="K19" s="102" t="s">
        <v>34</v>
      </c>
      <c r="L19" s="103"/>
    </row>
    <row r="20" spans="1:12" ht="24" customHeight="1" x14ac:dyDescent="0.25">
      <c r="A20" s="15" t="s">
        <v>35</v>
      </c>
      <c r="B20" s="15" t="s">
        <v>36</v>
      </c>
      <c r="C20" s="15" t="s">
        <v>37</v>
      </c>
      <c r="D20" s="15" t="s">
        <v>38</v>
      </c>
      <c r="E20" s="1"/>
      <c r="F20" s="1"/>
      <c r="G20" s="1"/>
      <c r="H20" s="1"/>
      <c r="I20" s="1"/>
      <c r="J20" s="24">
        <v>3</v>
      </c>
      <c r="K20" s="100" t="s">
        <v>39</v>
      </c>
      <c r="L20" s="101"/>
    </row>
    <row r="21" spans="1:12" ht="24" customHeight="1" x14ac:dyDescent="0.25">
      <c r="A21" s="16">
        <v>1</v>
      </c>
      <c r="B21" s="16" t="s">
        <v>40</v>
      </c>
      <c r="C21" s="16" t="s">
        <v>41</v>
      </c>
      <c r="D21" s="18" t="s">
        <v>1282</v>
      </c>
      <c r="E21" s="1"/>
      <c r="F21" s="1"/>
      <c r="G21" s="1"/>
      <c r="H21" s="1"/>
      <c r="I21" s="1"/>
      <c r="J21" s="23">
        <v>4</v>
      </c>
      <c r="K21" s="102" t="s">
        <v>42</v>
      </c>
      <c r="L21" s="103"/>
    </row>
    <row r="22" spans="1:12" ht="24" customHeight="1" x14ac:dyDescent="0.25">
      <c r="A22" s="1">
        <v>2</v>
      </c>
      <c r="B22" s="1" t="s">
        <v>43</v>
      </c>
      <c r="C22" s="1" t="s">
        <v>44</v>
      </c>
      <c r="D22" s="18" t="s">
        <v>1282</v>
      </c>
      <c r="E22" s="1"/>
      <c r="F22" s="1"/>
      <c r="G22" s="1"/>
      <c r="H22" s="1"/>
      <c r="I22" s="1"/>
      <c r="J22" s="24">
        <v>5</v>
      </c>
      <c r="K22" s="100" t="s">
        <v>46</v>
      </c>
      <c r="L22" s="101"/>
    </row>
    <row r="23" spans="1:12" ht="24" customHeight="1" x14ac:dyDescent="0.25">
      <c r="A23" s="1">
        <v>3</v>
      </c>
      <c r="B23" s="1" t="s">
        <v>47</v>
      </c>
      <c r="C23" s="1" t="s">
        <v>44</v>
      </c>
      <c r="D23" s="18" t="s">
        <v>1282</v>
      </c>
      <c r="E23" s="1"/>
      <c r="F23" s="1"/>
      <c r="G23" s="1"/>
      <c r="H23" s="1"/>
      <c r="I23" s="1"/>
      <c r="J23" s="29">
        <v>6</v>
      </c>
      <c r="K23" s="104" t="s">
        <v>48</v>
      </c>
      <c r="L23" s="105"/>
    </row>
    <row r="24" spans="1:12" ht="24" customHeight="1" x14ac:dyDescent="0.25">
      <c r="A24" s="1">
        <v>4</v>
      </c>
      <c r="B24" s="1" t="s">
        <v>49</v>
      </c>
      <c r="C24" s="1" t="s">
        <v>44</v>
      </c>
      <c r="D24" s="18" t="s">
        <v>1282</v>
      </c>
      <c r="E24" s="1"/>
      <c r="F24" s="1"/>
      <c r="G24" s="1"/>
      <c r="H24" s="1"/>
      <c r="I24" s="1"/>
      <c r="J24" s="1"/>
      <c r="K24" s="1"/>
      <c r="L24" s="1"/>
    </row>
    <row r="25" spans="1:12" ht="24" customHeight="1" x14ac:dyDescent="0.25">
      <c r="A25" s="1">
        <v>5</v>
      </c>
      <c r="B25" s="1" t="s">
        <v>50</v>
      </c>
      <c r="C25" s="1" t="s">
        <v>51</v>
      </c>
      <c r="D25" s="18" t="s">
        <v>1282</v>
      </c>
      <c r="E25" s="1"/>
      <c r="F25" s="1"/>
      <c r="G25" s="1"/>
      <c r="H25" s="1"/>
      <c r="I25" s="1"/>
      <c r="J25" s="1"/>
      <c r="K25" s="1"/>
      <c r="L25" s="1"/>
    </row>
    <row r="26" spans="1:12" ht="24" customHeight="1" x14ac:dyDescent="0.25">
      <c r="A26" s="1">
        <v>6</v>
      </c>
      <c r="B26" s="1" t="s">
        <v>52</v>
      </c>
      <c r="C26" s="1" t="s">
        <v>44</v>
      </c>
      <c r="D26" s="18" t="s">
        <v>1282</v>
      </c>
      <c r="E26" s="1"/>
      <c r="F26" s="1"/>
      <c r="G26" s="1"/>
      <c r="H26" s="1"/>
      <c r="I26" s="1"/>
      <c r="J26" s="1"/>
      <c r="K26" s="1"/>
      <c r="L26" s="1"/>
    </row>
    <row r="27" spans="1:12" ht="24" customHeight="1" x14ac:dyDescent="0.25">
      <c r="A27" s="1">
        <v>7</v>
      </c>
      <c r="B27" s="1" t="s">
        <v>53</v>
      </c>
      <c r="C27" s="1" t="s">
        <v>51</v>
      </c>
      <c r="D27" s="18" t="s">
        <v>1282</v>
      </c>
      <c r="E27" s="1"/>
      <c r="F27" s="1"/>
      <c r="G27" s="1"/>
      <c r="H27" s="1"/>
      <c r="I27" s="1"/>
      <c r="J27" s="1"/>
      <c r="K27" s="1"/>
      <c r="L27" s="1"/>
    </row>
    <row r="28" spans="1:12" ht="24" customHeight="1" x14ac:dyDescent="0.25">
      <c r="A28" s="17">
        <v>8</v>
      </c>
      <c r="B28" s="17" t="s">
        <v>54</v>
      </c>
      <c r="C28" s="17" t="s">
        <v>55</v>
      </c>
      <c r="D28" s="18" t="s">
        <v>45</v>
      </c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24">
    <mergeCell ref="K20:L20"/>
    <mergeCell ref="K21:L21"/>
    <mergeCell ref="K22:L22"/>
    <mergeCell ref="K23:L23"/>
    <mergeCell ref="K12:L12"/>
    <mergeCell ref="K13:L13"/>
    <mergeCell ref="K14:L14"/>
    <mergeCell ref="K18:L18"/>
    <mergeCell ref="K19:L19"/>
    <mergeCell ref="K5:L5"/>
    <mergeCell ref="K6:L6"/>
    <mergeCell ref="K7:L7"/>
    <mergeCell ref="K10:L10"/>
    <mergeCell ref="K11:L11"/>
    <mergeCell ref="B12:H12"/>
    <mergeCell ref="B13:H13"/>
    <mergeCell ref="B14:H14"/>
    <mergeCell ref="B15:H15"/>
    <mergeCell ref="B16:H16"/>
    <mergeCell ref="B5:H5"/>
    <mergeCell ref="B6:H6"/>
    <mergeCell ref="B7:H7"/>
    <mergeCell ref="B8:H8"/>
    <mergeCell ref="B11:H11"/>
  </mergeCells>
  <dataValidations count="1">
    <dataValidation type="list" sqref="D21:D28" xr:uid="{00000000-0002-0000-0000-000000000000}">
      <formula1>"Not started,In progress,Complete"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68"/>
  </sheetPr>
  <dimension ref="A1:O9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18" customWidth="1"/>
    <col min="2" max="2" width="13" customWidth="1"/>
    <col min="3" max="3" width="15" customWidth="1"/>
    <col min="4" max="4" width="22" customWidth="1"/>
    <col min="5" max="5" width="15" customWidth="1"/>
    <col min="6" max="6" width="17" customWidth="1"/>
    <col min="7" max="7" width="29" customWidth="1"/>
    <col min="8" max="8" width="18" customWidth="1"/>
    <col min="9" max="9" width="10" customWidth="1"/>
    <col min="10" max="13" width="14" customWidth="1"/>
    <col min="14" max="14" width="18" customWidth="1"/>
    <col min="15" max="15" width="16" customWidth="1"/>
  </cols>
  <sheetData>
    <row r="1" spans="1:15" ht="29.1" customHeight="1" x14ac:dyDescent="0.25">
      <c r="A1" s="15" t="s">
        <v>56</v>
      </c>
      <c r="B1" s="15" t="s">
        <v>57</v>
      </c>
      <c r="C1" s="15" t="s">
        <v>58</v>
      </c>
      <c r="D1" s="15" t="s">
        <v>59</v>
      </c>
      <c r="E1" s="15" t="s">
        <v>60</v>
      </c>
      <c r="F1" s="15" t="s">
        <v>61</v>
      </c>
      <c r="G1" s="15" t="s">
        <v>62</v>
      </c>
      <c r="H1" s="15" t="s">
        <v>63</v>
      </c>
      <c r="I1" s="15" t="s">
        <v>64</v>
      </c>
      <c r="J1" s="15" t="s">
        <v>65</v>
      </c>
      <c r="K1" s="15" t="s">
        <v>66</v>
      </c>
      <c r="L1" s="15" t="s">
        <v>67</v>
      </c>
      <c r="M1" s="15" t="s">
        <v>68</v>
      </c>
      <c r="N1" s="15" t="s">
        <v>69</v>
      </c>
      <c r="O1" s="15" t="s">
        <v>70</v>
      </c>
    </row>
    <row r="2" spans="1:15" ht="18.95" customHeight="1" x14ac:dyDescent="0.25">
      <c r="A2" s="1" t="s">
        <v>71</v>
      </c>
      <c r="B2" s="30">
        <v>45292.5</v>
      </c>
      <c r="C2" s="1" t="s">
        <v>72</v>
      </c>
      <c r="D2" s="1" t="s">
        <v>73</v>
      </c>
      <c r="E2" s="1" t="s">
        <v>74</v>
      </c>
      <c r="F2" s="1" t="s">
        <v>74</v>
      </c>
      <c r="G2" s="1" t="s">
        <v>75</v>
      </c>
      <c r="H2" s="1" t="s">
        <v>76</v>
      </c>
      <c r="I2" s="31">
        <v>1</v>
      </c>
      <c r="J2" s="32">
        <v>25.64</v>
      </c>
      <c r="K2" s="32">
        <v>25.64</v>
      </c>
      <c r="L2" s="32">
        <v>14.37</v>
      </c>
      <c r="M2" s="32">
        <v>11.27</v>
      </c>
      <c r="N2" s="1" t="s">
        <v>77</v>
      </c>
      <c r="O2" s="1" t="s">
        <v>78</v>
      </c>
    </row>
    <row r="3" spans="1:15" ht="18.95" customHeight="1" x14ac:dyDescent="0.25">
      <c r="A3" s="1" t="s">
        <v>79</v>
      </c>
      <c r="B3" s="30">
        <v>45295.5</v>
      </c>
      <c r="C3" s="1" t="s">
        <v>80</v>
      </c>
      <c r="D3" s="1" t="s">
        <v>81</v>
      </c>
      <c r="E3" s="1" t="s">
        <v>82</v>
      </c>
      <c r="F3" s="1" t="s">
        <v>83</v>
      </c>
      <c r="G3" s="1" t="s">
        <v>84</v>
      </c>
      <c r="H3" s="1" t="s">
        <v>85</v>
      </c>
      <c r="I3" s="31">
        <v>2</v>
      </c>
      <c r="J3" s="32">
        <v>8.99</v>
      </c>
      <c r="K3" s="32">
        <v>17.98</v>
      </c>
      <c r="L3" s="32">
        <v>8</v>
      </c>
      <c r="M3" s="32">
        <v>9.98</v>
      </c>
      <c r="N3" s="1" t="s">
        <v>86</v>
      </c>
      <c r="O3" s="1" t="s">
        <v>78</v>
      </c>
    </row>
    <row r="4" spans="1:15" ht="18.95" customHeight="1" x14ac:dyDescent="0.25">
      <c r="A4" s="1" t="s">
        <v>87</v>
      </c>
      <c r="B4" s="30">
        <v>45295.5</v>
      </c>
      <c r="C4" s="1" t="s">
        <v>88</v>
      </c>
      <c r="D4" s="1" t="s">
        <v>89</v>
      </c>
      <c r="E4" s="1" t="s">
        <v>90</v>
      </c>
      <c r="F4" s="1" t="s">
        <v>91</v>
      </c>
      <c r="G4" s="1" t="s">
        <v>92</v>
      </c>
      <c r="H4" s="1" t="s">
        <v>93</v>
      </c>
      <c r="I4" s="31">
        <v>3</v>
      </c>
      <c r="J4" s="32">
        <v>66.489999999999995</v>
      </c>
      <c r="K4" s="32">
        <v>199.47</v>
      </c>
      <c r="L4" s="32">
        <v>139.05000000000001</v>
      </c>
      <c r="M4" s="32">
        <v>60.42</v>
      </c>
      <c r="N4" s="1" t="s">
        <v>86</v>
      </c>
      <c r="O4" s="1" t="s">
        <v>78</v>
      </c>
    </row>
    <row r="5" spans="1:15" ht="18.95" customHeight="1" x14ac:dyDescent="0.25">
      <c r="A5" s="1" t="s">
        <v>94</v>
      </c>
      <c r="B5" s="30">
        <v>45296.5</v>
      </c>
      <c r="C5" s="1" t="s">
        <v>95</v>
      </c>
      <c r="D5" s="1" t="s">
        <v>96</v>
      </c>
      <c r="E5" s="1" t="s">
        <v>97</v>
      </c>
      <c r="F5" s="1" t="s">
        <v>91</v>
      </c>
      <c r="G5" s="1" t="s">
        <v>98</v>
      </c>
      <c r="H5" s="1" t="s">
        <v>99</v>
      </c>
      <c r="I5" s="31">
        <v>1</v>
      </c>
      <c r="J5" s="32">
        <v>29.99</v>
      </c>
      <c r="K5" s="32">
        <v>29.99</v>
      </c>
      <c r="L5" s="32">
        <v>16.34</v>
      </c>
      <c r="M5" s="32">
        <v>13.65</v>
      </c>
      <c r="N5" s="1" t="s">
        <v>100</v>
      </c>
      <c r="O5" s="1" t="s">
        <v>78</v>
      </c>
    </row>
    <row r="6" spans="1:15" ht="18.95" customHeight="1" x14ac:dyDescent="0.25">
      <c r="A6" s="1" t="s">
        <v>101</v>
      </c>
      <c r="B6" s="30">
        <v>45297.5</v>
      </c>
      <c r="C6" s="1" t="s">
        <v>102</v>
      </c>
      <c r="D6" s="1" t="s">
        <v>103</v>
      </c>
      <c r="E6" s="1" t="s">
        <v>104</v>
      </c>
      <c r="F6" s="1" t="s">
        <v>105</v>
      </c>
      <c r="G6" s="1" t="s">
        <v>106</v>
      </c>
      <c r="H6" s="1" t="s">
        <v>99</v>
      </c>
      <c r="I6" s="31">
        <v>2</v>
      </c>
      <c r="J6" s="32">
        <v>79.989999999999995</v>
      </c>
      <c r="K6" s="32">
        <v>159.97999999999999</v>
      </c>
      <c r="L6" s="32">
        <v>111.19</v>
      </c>
      <c r="M6" s="32">
        <v>48.79</v>
      </c>
      <c r="N6" s="1" t="s">
        <v>77</v>
      </c>
      <c r="O6" s="1" t="s">
        <v>78</v>
      </c>
    </row>
    <row r="7" spans="1:15" ht="18.95" customHeight="1" x14ac:dyDescent="0.25">
      <c r="A7" s="1" t="s">
        <v>107</v>
      </c>
      <c r="B7" s="30">
        <v>45297.5</v>
      </c>
      <c r="C7" s="1" t="s">
        <v>108</v>
      </c>
      <c r="D7" s="1" t="s">
        <v>109</v>
      </c>
      <c r="E7" s="1" t="s">
        <v>74</v>
      </c>
      <c r="F7" s="1" t="s">
        <v>74</v>
      </c>
      <c r="G7" s="1" t="s">
        <v>110</v>
      </c>
      <c r="H7" s="1" t="s">
        <v>85</v>
      </c>
      <c r="I7" s="31">
        <v>1</v>
      </c>
      <c r="J7" s="32">
        <v>11.04</v>
      </c>
      <c r="K7" s="32">
        <v>11.04</v>
      </c>
      <c r="L7" s="32">
        <v>6.34</v>
      </c>
      <c r="M7" s="32">
        <v>4.7</v>
      </c>
      <c r="N7" s="1" t="s">
        <v>111</v>
      </c>
      <c r="O7" s="1" t="s">
        <v>112</v>
      </c>
    </row>
    <row r="8" spans="1:15" ht="18.95" customHeight="1" x14ac:dyDescent="0.25">
      <c r="A8" s="1" t="s">
        <v>113</v>
      </c>
      <c r="B8" s="30">
        <v>45297.5</v>
      </c>
      <c r="C8" s="1" t="s">
        <v>114</v>
      </c>
      <c r="D8" s="1" t="s">
        <v>115</v>
      </c>
      <c r="E8" s="1" t="s">
        <v>104</v>
      </c>
      <c r="F8" s="1" t="s">
        <v>105</v>
      </c>
      <c r="G8" s="1" t="s">
        <v>116</v>
      </c>
      <c r="H8" s="1" t="s">
        <v>76</v>
      </c>
      <c r="I8" s="31">
        <v>2</v>
      </c>
      <c r="J8" s="32">
        <v>14.99</v>
      </c>
      <c r="K8" s="32">
        <v>29.98</v>
      </c>
      <c r="L8" s="32">
        <v>15.59</v>
      </c>
      <c r="M8" s="32">
        <v>14.39</v>
      </c>
      <c r="N8" s="1" t="s">
        <v>117</v>
      </c>
      <c r="O8" s="1" t="s">
        <v>118</v>
      </c>
    </row>
    <row r="9" spans="1:15" ht="18.95" customHeight="1" x14ac:dyDescent="0.25">
      <c r="A9" s="1" t="s">
        <v>119</v>
      </c>
      <c r="B9" s="30">
        <v>45299.5</v>
      </c>
      <c r="C9" s="1" t="s">
        <v>120</v>
      </c>
      <c r="D9" s="1" t="s">
        <v>121</v>
      </c>
      <c r="E9" s="1" t="s">
        <v>104</v>
      </c>
      <c r="F9" s="1" t="s">
        <v>105</v>
      </c>
      <c r="G9" s="1" t="s">
        <v>110</v>
      </c>
      <c r="H9" s="1" t="s">
        <v>85</v>
      </c>
      <c r="I9" s="31">
        <v>1</v>
      </c>
      <c r="J9" s="32">
        <v>12.99</v>
      </c>
      <c r="K9" s="32">
        <v>12.99</v>
      </c>
      <c r="L9" s="32">
        <v>6.17</v>
      </c>
      <c r="M9" s="32">
        <v>6.82</v>
      </c>
      <c r="N9" s="1" t="s">
        <v>77</v>
      </c>
      <c r="O9" s="1" t="s">
        <v>78</v>
      </c>
    </row>
    <row r="10" spans="1:15" ht="18.95" customHeight="1" x14ac:dyDescent="0.25">
      <c r="A10" s="1" t="s">
        <v>122</v>
      </c>
      <c r="B10" s="30">
        <v>45300.5</v>
      </c>
      <c r="C10" s="1" t="s">
        <v>123</v>
      </c>
      <c r="D10" s="1" t="s">
        <v>124</v>
      </c>
      <c r="E10" s="1" t="s">
        <v>125</v>
      </c>
      <c r="F10" s="1" t="s">
        <v>126</v>
      </c>
      <c r="G10" s="1" t="s">
        <v>127</v>
      </c>
      <c r="H10" s="1" t="s">
        <v>128</v>
      </c>
      <c r="I10" s="31">
        <v>1</v>
      </c>
      <c r="J10" s="32">
        <v>24.99</v>
      </c>
      <c r="K10" s="32">
        <v>24.99</v>
      </c>
      <c r="L10" s="32">
        <v>15.74</v>
      </c>
      <c r="M10" s="32">
        <v>9.25</v>
      </c>
      <c r="N10" s="1" t="s">
        <v>86</v>
      </c>
      <c r="O10" s="1" t="s">
        <v>112</v>
      </c>
    </row>
    <row r="11" spans="1:15" ht="18.95" customHeight="1" x14ac:dyDescent="0.25">
      <c r="A11" s="1" t="s">
        <v>129</v>
      </c>
      <c r="B11" s="30">
        <v>45302.5</v>
      </c>
      <c r="C11" s="1" t="s">
        <v>130</v>
      </c>
      <c r="D11" s="1" t="s">
        <v>131</v>
      </c>
      <c r="E11" s="1" t="s">
        <v>82</v>
      </c>
      <c r="F11" s="1" t="s">
        <v>83</v>
      </c>
      <c r="G11" s="1" t="s">
        <v>132</v>
      </c>
      <c r="H11" s="1" t="s">
        <v>99</v>
      </c>
      <c r="I11" s="31">
        <v>1</v>
      </c>
      <c r="J11" s="32">
        <v>89.99</v>
      </c>
      <c r="K11" s="32">
        <v>89.99</v>
      </c>
      <c r="L11" s="32">
        <v>64.34</v>
      </c>
      <c r="M11" s="32">
        <v>25.65</v>
      </c>
      <c r="N11" s="1" t="s">
        <v>77</v>
      </c>
      <c r="O11" s="1" t="s">
        <v>78</v>
      </c>
    </row>
    <row r="12" spans="1:15" ht="18.95" customHeight="1" x14ac:dyDescent="0.25">
      <c r="A12" s="1" t="s">
        <v>133</v>
      </c>
      <c r="B12" s="30">
        <v>45302.5</v>
      </c>
      <c r="C12" s="1" t="s">
        <v>134</v>
      </c>
      <c r="D12" s="1" t="s">
        <v>135</v>
      </c>
      <c r="E12" s="1" t="s">
        <v>136</v>
      </c>
      <c r="F12" s="1" t="s">
        <v>137</v>
      </c>
      <c r="G12" s="1" t="s">
        <v>138</v>
      </c>
      <c r="H12" s="1" t="s">
        <v>99</v>
      </c>
      <c r="I12" s="31">
        <v>1</v>
      </c>
      <c r="J12" s="32">
        <v>34.99</v>
      </c>
      <c r="K12" s="32">
        <v>34.99</v>
      </c>
      <c r="L12" s="32">
        <v>22.74</v>
      </c>
      <c r="M12" s="32">
        <v>12.25</v>
      </c>
      <c r="N12" s="1" t="s">
        <v>86</v>
      </c>
      <c r="O12" s="1" t="s">
        <v>112</v>
      </c>
    </row>
    <row r="13" spans="1:15" ht="18.95" customHeight="1" x14ac:dyDescent="0.25">
      <c r="A13" s="1" t="s">
        <v>133</v>
      </c>
      <c r="B13" s="30">
        <v>45302.5</v>
      </c>
      <c r="C13" s="1" t="s">
        <v>134</v>
      </c>
      <c r="D13" s="1" t="s">
        <v>135</v>
      </c>
      <c r="E13" s="1" t="s">
        <v>136</v>
      </c>
      <c r="F13" s="1" t="s">
        <v>137</v>
      </c>
      <c r="G13" s="1" t="s">
        <v>139</v>
      </c>
      <c r="H13" s="1" t="s">
        <v>128</v>
      </c>
      <c r="I13" s="31">
        <v>1</v>
      </c>
      <c r="J13" s="32">
        <v>69.989999999999995</v>
      </c>
      <c r="K13" s="32">
        <v>69.989999999999995</v>
      </c>
      <c r="L13" s="32">
        <v>48.29</v>
      </c>
      <c r="M13" s="32">
        <v>21.7</v>
      </c>
      <c r="N13" s="1" t="s">
        <v>86</v>
      </c>
      <c r="O13" s="1" t="s">
        <v>112</v>
      </c>
    </row>
    <row r="14" spans="1:15" ht="18.95" customHeight="1" x14ac:dyDescent="0.25">
      <c r="A14" s="1" t="s">
        <v>140</v>
      </c>
      <c r="B14" s="30">
        <v>45303.5</v>
      </c>
      <c r="C14" s="1" t="s">
        <v>141</v>
      </c>
      <c r="D14" s="1" t="s">
        <v>142</v>
      </c>
      <c r="E14" s="1" t="s">
        <v>82</v>
      </c>
      <c r="F14" s="1" t="s">
        <v>83</v>
      </c>
      <c r="G14" s="1" t="s">
        <v>143</v>
      </c>
      <c r="H14" s="1" t="s">
        <v>128</v>
      </c>
      <c r="I14" s="31">
        <v>1</v>
      </c>
      <c r="J14" s="32">
        <v>85.49</v>
      </c>
      <c r="K14" s="32">
        <v>85.49</v>
      </c>
      <c r="L14" s="32">
        <v>73.09</v>
      </c>
      <c r="M14" s="32">
        <v>12.4</v>
      </c>
      <c r="N14" s="1" t="s">
        <v>86</v>
      </c>
      <c r="O14" s="1" t="s">
        <v>78</v>
      </c>
    </row>
    <row r="15" spans="1:15" ht="18.95" customHeight="1" x14ac:dyDescent="0.25">
      <c r="A15" s="1" t="s">
        <v>144</v>
      </c>
      <c r="B15" s="30">
        <v>45303.5</v>
      </c>
      <c r="C15" s="1" t="s">
        <v>145</v>
      </c>
      <c r="D15" s="1" t="s">
        <v>146</v>
      </c>
      <c r="E15" s="1" t="s">
        <v>74</v>
      </c>
      <c r="F15" s="1" t="s">
        <v>74</v>
      </c>
      <c r="G15" s="1" t="s">
        <v>143</v>
      </c>
      <c r="H15" s="1" t="s">
        <v>128</v>
      </c>
      <c r="I15" s="31">
        <v>1</v>
      </c>
      <c r="J15" s="32">
        <v>94.99</v>
      </c>
      <c r="K15" s="32">
        <v>94.99</v>
      </c>
      <c r="L15" s="32">
        <v>75.989999999999995</v>
      </c>
      <c r="M15" s="32">
        <v>19</v>
      </c>
      <c r="N15" s="1" t="s">
        <v>86</v>
      </c>
      <c r="O15" s="1" t="s">
        <v>112</v>
      </c>
    </row>
    <row r="16" spans="1:15" ht="18.95" customHeight="1" x14ac:dyDescent="0.25">
      <c r="A16" s="1" t="s">
        <v>144</v>
      </c>
      <c r="B16" s="30">
        <v>45303.5</v>
      </c>
      <c r="C16" s="1" t="s">
        <v>145</v>
      </c>
      <c r="D16" s="1" t="s">
        <v>146</v>
      </c>
      <c r="E16" s="1" t="s">
        <v>74</v>
      </c>
      <c r="F16" s="1" t="s">
        <v>74</v>
      </c>
      <c r="G16" s="1" t="s">
        <v>116</v>
      </c>
      <c r="H16" s="1" t="s">
        <v>76</v>
      </c>
      <c r="I16" s="31">
        <v>2</v>
      </c>
      <c r="J16" s="32">
        <v>14.24</v>
      </c>
      <c r="K16" s="32">
        <v>28.48</v>
      </c>
      <c r="L16" s="32">
        <v>14.27</v>
      </c>
      <c r="M16" s="32">
        <v>14.21</v>
      </c>
      <c r="N16" s="1" t="s">
        <v>86</v>
      </c>
      <c r="O16" s="1" t="s">
        <v>112</v>
      </c>
    </row>
    <row r="17" spans="1:15" ht="18.95" customHeight="1" x14ac:dyDescent="0.25">
      <c r="A17" s="1" t="s">
        <v>147</v>
      </c>
      <c r="B17" s="30">
        <v>45303.5</v>
      </c>
      <c r="C17" s="1" t="s">
        <v>148</v>
      </c>
      <c r="D17" s="1" t="s">
        <v>149</v>
      </c>
      <c r="E17" s="1" t="s">
        <v>150</v>
      </c>
      <c r="F17" s="1" t="s">
        <v>105</v>
      </c>
      <c r="G17" s="1" t="s">
        <v>151</v>
      </c>
      <c r="H17" s="1" t="s">
        <v>76</v>
      </c>
      <c r="I17" s="31">
        <v>1</v>
      </c>
      <c r="J17" s="32">
        <v>18.989999999999998</v>
      </c>
      <c r="K17" s="32">
        <v>18.989999999999998</v>
      </c>
      <c r="L17" s="32">
        <v>10.44</v>
      </c>
      <c r="M17" s="32">
        <v>8.5500000000000007</v>
      </c>
      <c r="N17" s="1" t="s">
        <v>117</v>
      </c>
      <c r="O17" s="1" t="s">
        <v>118</v>
      </c>
    </row>
    <row r="18" spans="1:15" ht="18.95" customHeight="1" x14ac:dyDescent="0.25">
      <c r="A18" s="1" t="s">
        <v>147</v>
      </c>
      <c r="B18" s="30">
        <v>45303.5</v>
      </c>
      <c r="C18" s="1" t="s">
        <v>148</v>
      </c>
      <c r="D18" s="1" t="s">
        <v>149</v>
      </c>
      <c r="E18" s="1" t="s">
        <v>150</v>
      </c>
      <c r="F18" s="1" t="s">
        <v>105</v>
      </c>
      <c r="G18" s="1" t="s">
        <v>132</v>
      </c>
      <c r="H18" s="1" t="s">
        <v>99</v>
      </c>
      <c r="I18" s="31">
        <v>1</v>
      </c>
      <c r="J18" s="32">
        <v>85.49</v>
      </c>
      <c r="K18" s="32">
        <v>85.49</v>
      </c>
      <c r="L18" s="32">
        <v>69.650000000000006</v>
      </c>
      <c r="M18" s="32">
        <v>15.84</v>
      </c>
      <c r="N18" s="1" t="s">
        <v>117</v>
      </c>
      <c r="O18" s="1" t="s">
        <v>118</v>
      </c>
    </row>
    <row r="19" spans="1:15" ht="18.95" customHeight="1" x14ac:dyDescent="0.25">
      <c r="A19" s="1" t="s">
        <v>152</v>
      </c>
      <c r="B19" s="30">
        <v>45306.5</v>
      </c>
      <c r="C19" s="1" t="s">
        <v>153</v>
      </c>
      <c r="D19" s="1" t="s">
        <v>154</v>
      </c>
      <c r="E19" s="1" t="s">
        <v>97</v>
      </c>
      <c r="F19" s="1" t="s">
        <v>91</v>
      </c>
      <c r="G19" s="1" t="s">
        <v>132</v>
      </c>
      <c r="H19" s="1" t="s">
        <v>99</v>
      </c>
      <c r="I19" s="31">
        <v>1</v>
      </c>
      <c r="J19" s="32">
        <v>89.99</v>
      </c>
      <c r="K19" s="32">
        <v>89.99</v>
      </c>
      <c r="L19" s="32">
        <v>64.34</v>
      </c>
      <c r="M19" s="32">
        <v>25.65</v>
      </c>
      <c r="N19" s="1" t="s">
        <v>117</v>
      </c>
      <c r="O19" s="1" t="s">
        <v>78</v>
      </c>
    </row>
    <row r="20" spans="1:15" ht="18.95" customHeight="1" x14ac:dyDescent="0.25">
      <c r="A20" s="1" t="s">
        <v>152</v>
      </c>
      <c r="B20" s="30">
        <v>45306.5</v>
      </c>
      <c r="C20" s="1" t="s">
        <v>153</v>
      </c>
      <c r="D20" s="1" t="s">
        <v>154</v>
      </c>
      <c r="E20" s="1" t="s">
        <v>97</v>
      </c>
      <c r="F20" s="1" t="s">
        <v>91</v>
      </c>
      <c r="G20" s="1" t="s">
        <v>110</v>
      </c>
      <c r="H20" s="1" t="s">
        <v>85</v>
      </c>
      <c r="I20" s="31">
        <v>1</v>
      </c>
      <c r="J20" s="32">
        <v>12.99</v>
      </c>
      <c r="K20" s="32">
        <v>12.99</v>
      </c>
      <c r="L20" s="32">
        <v>6.17</v>
      </c>
      <c r="M20" s="32">
        <v>6.82</v>
      </c>
      <c r="N20" s="1" t="s">
        <v>117</v>
      </c>
      <c r="O20" s="1" t="s">
        <v>78</v>
      </c>
    </row>
    <row r="21" spans="1:15" ht="18.95" customHeight="1" x14ac:dyDescent="0.25">
      <c r="A21" s="1" t="s">
        <v>152</v>
      </c>
      <c r="B21" s="30">
        <v>45306.5</v>
      </c>
      <c r="C21" s="1" t="s">
        <v>153</v>
      </c>
      <c r="D21" s="1" t="s">
        <v>154</v>
      </c>
      <c r="E21" s="1" t="s">
        <v>97</v>
      </c>
      <c r="F21" s="1" t="s">
        <v>91</v>
      </c>
      <c r="G21" s="1" t="s">
        <v>155</v>
      </c>
      <c r="H21" s="1" t="s">
        <v>93</v>
      </c>
      <c r="I21" s="31">
        <v>1</v>
      </c>
      <c r="J21" s="32">
        <v>27.99</v>
      </c>
      <c r="K21" s="32">
        <v>27.99</v>
      </c>
      <c r="L21" s="32">
        <v>14.13</v>
      </c>
      <c r="M21" s="32">
        <v>13.86</v>
      </c>
      <c r="N21" s="1" t="s">
        <v>117</v>
      </c>
      <c r="O21" s="1" t="s">
        <v>78</v>
      </c>
    </row>
    <row r="22" spans="1:15" ht="18.95" customHeight="1" x14ac:dyDescent="0.25">
      <c r="A22" s="1" t="s">
        <v>156</v>
      </c>
      <c r="B22" s="30">
        <v>45308.5</v>
      </c>
      <c r="C22" s="1" t="s">
        <v>153</v>
      </c>
      <c r="D22" s="1" t="s">
        <v>154</v>
      </c>
      <c r="E22" s="1" t="s">
        <v>97</v>
      </c>
      <c r="F22" s="1" t="s">
        <v>91</v>
      </c>
      <c r="G22" s="1" t="s">
        <v>151</v>
      </c>
      <c r="H22" s="1" t="s">
        <v>76</v>
      </c>
      <c r="I22" s="31">
        <v>1</v>
      </c>
      <c r="J22" s="32">
        <v>17.09</v>
      </c>
      <c r="K22" s="32">
        <v>17.09</v>
      </c>
      <c r="L22" s="32">
        <v>9.5299999999999994</v>
      </c>
      <c r="M22" s="32">
        <v>7.56</v>
      </c>
      <c r="N22" s="1" t="s">
        <v>117</v>
      </c>
      <c r="O22" s="1" t="s">
        <v>112</v>
      </c>
    </row>
    <row r="23" spans="1:15" ht="18.95" customHeight="1" x14ac:dyDescent="0.25">
      <c r="A23" s="1" t="s">
        <v>156</v>
      </c>
      <c r="B23" s="30">
        <v>45308.5</v>
      </c>
      <c r="C23" s="1" t="s">
        <v>153</v>
      </c>
      <c r="D23" s="1" t="s">
        <v>154</v>
      </c>
      <c r="E23" s="1" t="s">
        <v>97</v>
      </c>
      <c r="F23" s="1" t="s">
        <v>91</v>
      </c>
      <c r="G23" s="1" t="s">
        <v>157</v>
      </c>
      <c r="H23" s="1" t="s">
        <v>93</v>
      </c>
      <c r="I23" s="31">
        <v>1</v>
      </c>
      <c r="J23" s="32">
        <v>16.989999999999998</v>
      </c>
      <c r="K23" s="32">
        <v>16.989999999999998</v>
      </c>
      <c r="L23" s="32">
        <v>10.15</v>
      </c>
      <c r="M23" s="32">
        <v>6.84</v>
      </c>
      <c r="N23" s="1" t="s">
        <v>117</v>
      </c>
      <c r="O23" s="1" t="s">
        <v>112</v>
      </c>
    </row>
    <row r="24" spans="1:15" ht="18.95" customHeight="1" x14ac:dyDescent="0.25">
      <c r="A24" s="1" t="s">
        <v>158</v>
      </c>
      <c r="B24" s="30">
        <v>45308.5</v>
      </c>
      <c r="C24" s="1" t="s">
        <v>159</v>
      </c>
      <c r="D24" s="1" t="s">
        <v>160</v>
      </c>
      <c r="E24" s="1" t="s">
        <v>150</v>
      </c>
      <c r="F24" s="1" t="s">
        <v>105</v>
      </c>
      <c r="G24" s="1" t="s">
        <v>84</v>
      </c>
      <c r="H24" s="1" t="s">
        <v>85</v>
      </c>
      <c r="I24" s="31">
        <v>2</v>
      </c>
      <c r="J24" s="32">
        <v>8.99</v>
      </c>
      <c r="K24" s="32">
        <v>17.98</v>
      </c>
      <c r="L24" s="32">
        <v>9.17</v>
      </c>
      <c r="M24" s="32">
        <v>8.81</v>
      </c>
      <c r="N24" s="1" t="s">
        <v>77</v>
      </c>
      <c r="O24" s="1" t="s">
        <v>118</v>
      </c>
    </row>
    <row r="25" spans="1:15" ht="18.95" customHeight="1" x14ac:dyDescent="0.25">
      <c r="A25" s="1" t="s">
        <v>161</v>
      </c>
      <c r="B25" s="30">
        <v>45309.5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75</v>
      </c>
      <c r="H25" s="1" t="s">
        <v>76</v>
      </c>
      <c r="I25" s="31">
        <v>2</v>
      </c>
      <c r="J25" s="32">
        <v>26.99</v>
      </c>
      <c r="K25" s="32">
        <v>53.98</v>
      </c>
      <c r="L25" s="32">
        <v>28.88</v>
      </c>
      <c r="M25" s="32">
        <v>25.1</v>
      </c>
      <c r="N25" s="1" t="s">
        <v>77</v>
      </c>
      <c r="O25" s="1" t="s">
        <v>78</v>
      </c>
    </row>
    <row r="26" spans="1:15" ht="18.95" customHeight="1" x14ac:dyDescent="0.25">
      <c r="A26" s="1" t="s">
        <v>166</v>
      </c>
      <c r="B26" s="30">
        <v>45310.5</v>
      </c>
      <c r="C26" s="1" t="s">
        <v>167</v>
      </c>
      <c r="D26" s="1" t="s">
        <v>168</v>
      </c>
      <c r="E26" s="1" t="s">
        <v>169</v>
      </c>
      <c r="F26" s="1" t="s">
        <v>170</v>
      </c>
      <c r="G26" s="1" t="s">
        <v>84</v>
      </c>
      <c r="H26" s="1" t="s">
        <v>85</v>
      </c>
      <c r="I26" s="31">
        <v>2</v>
      </c>
      <c r="J26" s="32">
        <v>8.99</v>
      </c>
      <c r="K26" s="32">
        <v>17.98</v>
      </c>
      <c r="L26" s="32">
        <v>8</v>
      </c>
      <c r="M26" s="32">
        <v>9.98</v>
      </c>
      <c r="N26" s="1" t="s">
        <v>117</v>
      </c>
      <c r="O26" s="1" t="s">
        <v>78</v>
      </c>
    </row>
    <row r="27" spans="1:15" ht="18.95" customHeight="1" x14ac:dyDescent="0.25">
      <c r="A27" s="1" t="s">
        <v>171</v>
      </c>
      <c r="B27" s="30">
        <v>45311.5</v>
      </c>
      <c r="C27" s="1" t="s">
        <v>172</v>
      </c>
      <c r="D27" s="1" t="s">
        <v>173</v>
      </c>
      <c r="E27" s="1" t="s">
        <v>174</v>
      </c>
      <c r="F27" s="1" t="s">
        <v>175</v>
      </c>
      <c r="G27" s="1" t="s">
        <v>127</v>
      </c>
      <c r="H27" s="1" t="s">
        <v>128</v>
      </c>
      <c r="I27" s="31">
        <v>1</v>
      </c>
      <c r="J27" s="32">
        <v>24.99</v>
      </c>
      <c r="K27" s="32">
        <v>24.99</v>
      </c>
      <c r="L27" s="32">
        <v>15.12</v>
      </c>
      <c r="M27" s="32">
        <v>9.8699999999999992</v>
      </c>
      <c r="N27" s="1" t="s">
        <v>117</v>
      </c>
      <c r="O27" s="1" t="s">
        <v>78</v>
      </c>
    </row>
    <row r="28" spans="1:15" ht="18.95" customHeight="1" x14ac:dyDescent="0.25">
      <c r="A28" s="1" t="s">
        <v>171</v>
      </c>
      <c r="B28" s="30">
        <v>45311.5</v>
      </c>
      <c r="C28" s="1" t="s">
        <v>172</v>
      </c>
      <c r="D28" s="1" t="s">
        <v>173</v>
      </c>
      <c r="E28" s="1" t="s">
        <v>174</v>
      </c>
      <c r="F28" s="1" t="s">
        <v>175</v>
      </c>
      <c r="G28" s="1" t="s">
        <v>75</v>
      </c>
      <c r="H28" s="1" t="s">
        <v>76</v>
      </c>
      <c r="I28" s="31">
        <v>4</v>
      </c>
      <c r="J28" s="32">
        <v>26.99</v>
      </c>
      <c r="K28" s="32">
        <v>107.96</v>
      </c>
      <c r="L28" s="32">
        <v>57.76</v>
      </c>
      <c r="M28" s="32">
        <v>50.2</v>
      </c>
      <c r="N28" s="1" t="s">
        <v>117</v>
      </c>
      <c r="O28" s="1" t="s">
        <v>78</v>
      </c>
    </row>
    <row r="29" spans="1:15" ht="18.95" customHeight="1" x14ac:dyDescent="0.25">
      <c r="A29" s="1" t="s">
        <v>176</v>
      </c>
      <c r="B29" s="30">
        <v>45312.5</v>
      </c>
      <c r="C29" s="1" t="s">
        <v>177</v>
      </c>
      <c r="D29" s="1" t="s">
        <v>178</v>
      </c>
      <c r="E29" s="1" t="s">
        <v>97</v>
      </c>
      <c r="F29" s="1" t="s">
        <v>91</v>
      </c>
      <c r="G29" s="1" t="s">
        <v>179</v>
      </c>
      <c r="H29" s="1" t="s">
        <v>128</v>
      </c>
      <c r="I29" s="31">
        <v>1</v>
      </c>
      <c r="J29" s="32">
        <v>35.99</v>
      </c>
      <c r="K29" s="32">
        <v>35.99</v>
      </c>
      <c r="L29" s="32">
        <v>22.77</v>
      </c>
      <c r="M29" s="32">
        <v>13.22</v>
      </c>
      <c r="N29" s="1" t="s">
        <v>117</v>
      </c>
      <c r="O29" s="1" t="s">
        <v>78</v>
      </c>
    </row>
    <row r="30" spans="1:15" ht="18.95" customHeight="1" x14ac:dyDescent="0.25">
      <c r="A30" s="1" t="s">
        <v>180</v>
      </c>
      <c r="B30" s="30">
        <v>45312.5</v>
      </c>
      <c r="C30" s="1" t="s">
        <v>181</v>
      </c>
      <c r="D30" s="1" t="s">
        <v>182</v>
      </c>
      <c r="E30" s="1" t="s">
        <v>183</v>
      </c>
      <c r="F30" s="1" t="s">
        <v>137</v>
      </c>
      <c r="G30" s="1" t="s">
        <v>184</v>
      </c>
      <c r="H30" s="1" t="s">
        <v>99</v>
      </c>
      <c r="I30" s="31">
        <v>2</v>
      </c>
      <c r="J30" s="32">
        <v>161.49</v>
      </c>
      <c r="K30" s="32">
        <v>322.98</v>
      </c>
      <c r="L30" s="32">
        <v>293.74</v>
      </c>
      <c r="M30" s="32">
        <v>29.24</v>
      </c>
      <c r="N30" s="1" t="s">
        <v>77</v>
      </c>
      <c r="O30" s="1" t="s">
        <v>118</v>
      </c>
    </row>
    <row r="31" spans="1:15" ht="18.95" customHeight="1" x14ac:dyDescent="0.25">
      <c r="A31" s="1" t="s">
        <v>180</v>
      </c>
      <c r="B31" s="30">
        <v>45312.5</v>
      </c>
      <c r="C31" s="1" t="s">
        <v>181</v>
      </c>
      <c r="D31" s="1" t="s">
        <v>182</v>
      </c>
      <c r="E31" s="1" t="s">
        <v>183</v>
      </c>
      <c r="F31" s="1" t="s">
        <v>137</v>
      </c>
      <c r="G31" s="1" t="s">
        <v>110</v>
      </c>
      <c r="H31" s="1" t="s">
        <v>85</v>
      </c>
      <c r="I31" s="31">
        <v>1</v>
      </c>
      <c r="J31" s="32">
        <v>12.99</v>
      </c>
      <c r="K31" s="32">
        <v>12.99</v>
      </c>
      <c r="L31" s="32">
        <v>7.01</v>
      </c>
      <c r="M31" s="32">
        <v>5.98</v>
      </c>
      <c r="N31" s="1" t="s">
        <v>77</v>
      </c>
      <c r="O31" s="1" t="s">
        <v>118</v>
      </c>
    </row>
    <row r="32" spans="1:15" ht="18.95" customHeight="1" x14ac:dyDescent="0.25">
      <c r="A32" s="1" t="s">
        <v>185</v>
      </c>
      <c r="B32" s="30">
        <v>45313.5</v>
      </c>
      <c r="C32" s="1" t="s">
        <v>186</v>
      </c>
      <c r="D32" s="1" t="s">
        <v>187</v>
      </c>
      <c r="E32" s="1" t="s">
        <v>169</v>
      </c>
      <c r="F32" s="1" t="s">
        <v>170</v>
      </c>
      <c r="G32" s="1" t="s">
        <v>138</v>
      </c>
      <c r="H32" s="1" t="s">
        <v>99</v>
      </c>
      <c r="I32" s="31">
        <v>1</v>
      </c>
      <c r="J32" s="32">
        <v>34.99</v>
      </c>
      <c r="K32" s="32">
        <v>34.99</v>
      </c>
      <c r="L32" s="32">
        <v>22.74</v>
      </c>
      <c r="M32" s="32">
        <v>12.25</v>
      </c>
      <c r="N32" s="1" t="s">
        <v>100</v>
      </c>
      <c r="O32" s="1" t="s">
        <v>112</v>
      </c>
    </row>
    <row r="33" spans="1:15" ht="18.95" customHeight="1" x14ac:dyDescent="0.25">
      <c r="A33" s="1" t="s">
        <v>185</v>
      </c>
      <c r="B33" s="30">
        <v>45313.5</v>
      </c>
      <c r="C33" s="1" t="s">
        <v>186</v>
      </c>
      <c r="D33" s="1" t="s">
        <v>187</v>
      </c>
      <c r="E33" s="1" t="s">
        <v>169</v>
      </c>
      <c r="F33" s="1" t="s">
        <v>170</v>
      </c>
      <c r="G33" s="1" t="s">
        <v>188</v>
      </c>
      <c r="H33" s="1" t="s">
        <v>76</v>
      </c>
      <c r="I33" s="31">
        <v>1</v>
      </c>
      <c r="J33" s="32">
        <v>84.99</v>
      </c>
      <c r="K33" s="32">
        <v>84.99</v>
      </c>
      <c r="L33" s="32">
        <v>62.04</v>
      </c>
      <c r="M33" s="32">
        <v>22.95</v>
      </c>
      <c r="N33" s="1" t="s">
        <v>100</v>
      </c>
      <c r="O33" s="1" t="s">
        <v>112</v>
      </c>
    </row>
    <row r="34" spans="1:15" ht="18.95" customHeight="1" x14ac:dyDescent="0.25">
      <c r="A34" s="1" t="s">
        <v>185</v>
      </c>
      <c r="B34" s="30">
        <v>45313.5</v>
      </c>
      <c r="C34" s="1" t="s">
        <v>186</v>
      </c>
      <c r="D34" s="1" t="s">
        <v>187</v>
      </c>
      <c r="E34" s="1" t="s">
        <v>169</v>
      </c>
      <c r="F34" s="1" t="s">
        <v>170</v>
      </c>
      <c r="G34" s="1" t="s">
        <v>189</v>
      </c>
      <c r="H34" s="1" t="s">
        <v>93</v>
      </c>
      <c r="I34" s="31">
        <v>3</v>
      </c>
      <c r="J34" s="32">
        <v>44.99</v>
      </c>
      <c r="K34" s="32">
        <v>134.97</v>
      </c>
      <c r="L34" s="32">
        <v>83.68</v>
      </c>
      <c r="M34" s="32">
        <v>51.29</v>
      </c>
      <c r="N34" s="1" t="s">
        <v>100</v>
      </c>
      <c r="O34" s="1" t="s">
        <v>112</v>
      </c>
    </row>
    <row r="35" spans="1:15" ht="18.95" customHeight="1" x14ac:dyDescent="0.25">
      <c r="A35" s="1" t="s">
        <v>190</v>
      </c>
      <c r="B35" s="30">
        <v>45313.5</v>
      </c>
      <c r="C35" s="1" t="s">
        <v>191</v>
      </c>
      <c r="D35" s="1" t="s">
        <v>192</v>
      </c>
      <c r="E35" s="1" t="s">
        <v>193</v>
      </c>
      <c r="F35" s="1" t="s">
        <v>194</v>
      </c>
      <c r="G35" s="1" t="s">
        <v>195</v>
      </c>
      <c r="H35" s="1" t="s">
        <v>128</v>
      </c>
      <c r="I35" s="31">
        <v>1</v>
      </c>
      <c r="J35" s="32">
        <v>139.99</v>
      </c>
      <c r="K35" s="32">
        <v>139.99</v>
      </c>
      <c r="L35" s="32">
        <v>107.09</v>
      </c>
      <c r="M35" s="32">
        <v>32.9</v>
      </c>
      <c r="N35" s="1" t="s">
        <v>111</v>
      </c>
      <c r="O35" s="1" t="s">
        <v>78</v>
      </c>
    </row>
    <row r="36" spans="1:15" ht="18.95" customHeight="1" x14ac:dyDescent="0.25">
      <c r="A36" s="1" t="s">
        <v>190</v>
      </c>
      <c r="B36" s="30">
        <v>45313.5</v>
      </c>
      <c r="C36" s="1" t="s">
        <v>191</v>
      </c>
      <c r="D36" s="1" t="s">
        <v>192</v>
      </c>
      <c r="E36" s="1" t="s">
        <v>193</v>
      </c>
      <c r="F36" s="1" t="s">
        <v>194</v>
      </c>
      <c r="G36" s="1" t="s">
        <v>110</v>
      </c>
      <c r="H36" s="1" t="s">
        <v>85</v>
      </c>
      <c r="I36" s="31">
        <v>1</v>
      </c>
      <c r="J36" s="32">
        <v>11.69</v>
      </c>
      <c r="K36" s="32">
        <v>11.69</v>
      </c>
      <c r="L36" s="32">
        <v>6.1</v>
      </c>
      <c r="M36" s="32">
        <v>5.59</v>
      </c>
      <c r="N36" s="1" t="s">
        <v>111</v>
      </c>
      <c r="O36" s="1" t="s">
        <v>78</v>
      </c>
    </row>
    <row r="37" spans="1:15" ht="18.95" customHeight="1" x14ac:dyDescent="0.25">
      <c r="A37" s="1" t="s">
        <v>196</v>
      </c>
      <c r="B37" s="30">
        <v>45313.5</v>
      </c>
      <c r="C37" s="1" t="s">
        <v>197</v>
      </c>
      <c r="D37" s="1" t="s">
        <v>198</v>
      </c>
      <c r="E37" s="1" t="s">
        <v>136</v>
      </c>
      <c r="F37" s="1" t="s">
        <v>137</v>
      </c>
      <c r="G37" s="1" t="s">
        <v>110</v>
      </c>
      <c r="H37" s="1" t="s">
        <v>85</v>
      </c>
      <c r="I37" s="31">
        <v>2</v>
      </c>
      <c r="J37" s="32">
        <v>12.99</v>
      </c>
      <c r="K37" s="32">
        <v>25.98</v>
      </c>
      <c r="L37" s="32">
        <v>12.34</v>
      </c>
      <c r="M37" s="32">
        <v>13.64</v>
      </c>
      <c r="N37" s="1" t="s">
        <v>117</v>
      </c>
      <c r="O37" s="1" t="s">
        <v>78</v>
      </c>
    </row>
    <row r="38" spans="1:15" ht="18.95" customHeight="1" x14ac:dyDescent="0.25">
      <c r="A38" s="1" t="s">
        <v>199</v>
      </c>
      <c r="B38" s="30">
        <v>45315.5</v>
      </c>
      <c r="C38" s="1" t="s">
        <v>200</v>
      </c>
      <c r="D38" s="1" t="s">
        <v>201</v>
      </c>
      <c r="E38" s="1" t="s">
        <v>136</v>
      </c>
      <c r="F38" s="1" t="s">
        <v>137</v>
      </c>
      <c r="G38" s="1" t="s">
        <v>202</v>
      </c>
      <c r="H38" s="1" t="s">
        <v>85</v>
      </c>
      <c r="I38" s="31">
        <v>2</v>
      </c>
      <c r="J38" s="32">
        <v>7.19</v>
      </c>
      <c r="K38" s="32">
        <v>14.38</v>
      </c>
      <c r="L38" s="32">
        <v>8.4600000000000009</v>
      </c>
      <c r="M38" s="32">
        <v>5.92</v>
      </c>
      <c r="N38" s="1" t="s">
        <v>117</v>
      </c>
      <c r="O38" s="1" t="s">
        <v>78</v>
      </c>
    </row>
    <row r="39" spans="1:15" ht="18.95" customHeight="1" x14ac:dyDescent="0.25">
      <c r="A39" s="1" t="s">
        <v>203</v>
      </c>
      <c r="B39" s="30">
        <v>45316.5</v>
      </c>
      <c r="C39" s="1" t="s">
        <v>204</v>
      </c>
      <c r="D39" s="1" t="s">
        <v>205</v>
      </c>
      <c r="E39" s="1" t="s">
        <v>164</v>
      </c>
      <c r="F39" s="1" t="s">
        <v>165</v>
      </c>
      <c r="G39" s="1" t="s">
        <v>116</v>
      </c>
      <c r="H39" s="1" t="s">
        <v>76</v>
      </c>
      <c r="I39" s="31">
        <v>6</v>
      </c>
      <c r="J39" s="32">
        <v>14.99</v>
      </c>
      <c r="K39" s="32">
        <v>89.94</v>
      </c>
      <c r="L39" s="32">
        <v>40.92</v>
      </c>
      <c r="M39" s="32">
        <v>49.02</v>
      </c>
      <c r="N39" s="1" t="s">
        <v>111</v>
      </c>
      <c r="O39" s="1" t="s">
        <v>78</v>
      </c>
    </row>
    <row r="40" spans="1:15" ht="18.95" customHeight="1" x14ac:dyDescent="0.25">
      <c r="A40" s="1" t="s">
        <v>203</v>
      </c>
      <c r="B40" s="30">
        <v>45316.5</v>
      </c>
      <c r="C40" s="1" t="s">
        <v>204</v>
      </c>
      <c r="D40" s="1" t="s">
        <v>205</v>
      </c>
      <c r="E40" s="1" t="s">
        <v>164</v>
      </c>
      <c r="F40" s="1" t="s">
        <v>165</v>
      </c>
      <c r="G40" s="1" t="s">
        <v>195</v>
      </c>
      <c r="H40" s="1" t="s">
        <v>128</v>
      </c>
      <c r="I40" s="31">
        <v>1</v>
      </c>
      <c r="J40" s="32">
        <v>139.99</v>
      </c>
      <c r="K40" s="32">
        <v>139.99</v>
      </c>
      <c r="L40" s="32">
        <v>107.09</v>
      </c>
      <c r="M40" s="32">
        <v>32.9</v>
      </c>
      <c r="N40" s="1" t="s">
        <v>111</v>
      </c>
      <c r="O40" s="1" t="s">
        <v>78</v>
      </c>
    </row>
    <row r="41" spans="1:15" ht="18.95" customHeight="1" x14ac:dyDescent="0.25">
      <c r="A41" s="1" t="s">
        <v>206</v>
      </c>
      <c r="B41" s="30">
        <v>45316.5</v>
      </c>
      <c r="C41" s="1" t="s">
        <v>162</v>
      </c>
      <c r="D41" s="1" t="s">
        <v>163</v>
      </c>
      <c r="E41" s="1" t="s">
        <v>164</v>
      </c>
      <c r="F41" s="1" t="s">
        <v>165</v>
      </c>
      <c r="G41" s="1" t="s">
        <v>110</v>
      </c>
      <c r="H41" s="1" t="s">
        <v>85</v>
      </c>
      <c r="I41" s="31">
        <v>1</v>
      </c>
      <c r="J41" s="32">
        <v>12.99</v>
      </c>
      <c r="K41" s="32">
        <v>12.99</v>
      </c>
      <c r="L41" s="32">
        <v>6.17</v>
      </c>
      <c r="M41" s="32">
        <v>6.82</v>
      </c>
      <c r="N41" s="1" t="s">
        <v>86</v>
      </c>
      <c r="O41" s="1" t="s">
        <v>78</v>
      </c>
    </row>
    <row r="42" spans="1:15" ht="18.95" customHeight="1" x14ac:dyDescent="0.25">
      <c r="A42" s="1" t="s">
        <v>206</v>
      </c>
      <c r="B42" s="30">
        <v>45316.5</v>
      </c>
      <c r="C42" s="1" t="s">
        <v>162</v>
      </c>
      <c r="D42" s="1" t="s">
        <v>163</v>
      </c>
      <c r="E42" s="1" t="s">
        <v>164</v>
      </c>
      <c r="F42" s="1" t="s">
        <v>165</v>
      </c>
      <c r="G42" s="1" t="s">
        <v>207</v>
      </c>
      <c r="H42" s="1" t="s">
        <v>85</v>
      </c>
      <c r="I42" s="31">
        <v>3</v>
      </c>
      <c r="J42" s="32">
        <v>119.99</v>
      </c>
      <c r="K42" s="32">
        <v>359.97</v>
      </c>
      <c r="L42" s="32">
        <v>268.18</v>
      </c>
      <c r="M42" s="32">
        <v>91.79</v>
      </c>
      <c r="N42" s="1" t="s">
        <v>86</v>
      </c>
      <c r="O42" s="1" t="s">
        <v>78</v>
      </c>
    </row>
    <row r="43" spans="1:15" ht="18.95" customHeight="1" x14ac:dyDescent="0.25">
      <c r="A43" s="1" t="s">
        <v>208</v>
      </c>
      <c r="B43" s="30">
        <v>45324.5</v>
      </c>
      <c r="C43" s="1" t="s">
        <v>114</v>
      </c>
      <c r="D43" s="1" t="s">
        <v>115</v>
      </c>
      <c r="E43" s="1" t="s">
        <v>104</v>
      </c>
      <c r="F43" s="1" t="s">
        <v>105</v>
      </c>
      <c r="G43" s="1" t="s">
        <v>202</v>
      </c>
      <c r="H43" s="1" t="s">
        <v>85</v>
      </c>
      <c r="I43" s="31">
        <v>2</v>
      </c>
      <c r="J43" s="32">
        <v>7.99</v>
      </c>
      <c r="K43" s="32">
        <v>15.98</v>
      </c>
      <c r="L43" s="32">
        <v>9.59</v>
      </c>
      <c r="M43" s="32">
        <v>6.39</v>
      </c>
      <c r="N43" s="1" t="s">
        <v>77</v>
      </c>
      <c r="O43" s="1" t="s">
        <v>118</v>
      </c>
    </row>
    <row r="44" spans="1:15" ht="18.95" customHeight="1" x14ac:dyDescent="0.25">
      <c r="A44" s="1" t="s">
        <v>209</v>
      </c>
      <c r="B44" s="30">
        <v>45326.5</v>
      </c>
      <c r="C44" s="1" t="s">
        <v>210</v>
      </c>
      <c r="D44" s="1" t="s">
        <v>211</v>
      </c>
      <c r="E44" s="1" t="s">
        <v>212</v>
      </c>
      <c r="F44" s="1" t="s">
        <v>83</v>
      </c>
      <c r="G44" s="1" t="s">
        <v>213</v>
      </c>
      <c r="H44" s="1" t="s">
        <v>93</v>
      </c>
      <c r="I44" s="31">
        <v>3</v>
      </c>
      <c r="J44" s="32">
        <v>32.99</v>
      </c>
      <c r="K44" s="32">
        <v>98.97</v>
      </c>
      <c r="L44" s="32">
        <v>55.92</v>
      </c>
      <c r="M44" s="32">
        <v>43.05</v>
      </c>
      <c r="N44" s="1" t="s">
        <v>86</v>
      </c>
      <c r="O44" s="1" t="s">
        <v>78</v>
      </c>
    </row>
    <row r="45" spans="1:15" ht="18.95" customHeight="1" x14ac:dyDescent="0.25">
      <c r="A45" s="1" t="s">
        <v>214</v>
      </c>
      <c r="B45" s="30">
        <v>45328.5</v>
      </c>
      <c r="C45" s="1" t="s">
        <v>215</v>
      </c>
      <c r="D45" s="1" t="s">
        <v>216</v>
      </c>
      <c r="E45" s="1" t="s">
        <v>183</v>
      </c>
      <c r="F45" s="1" t="s">
        <v>137</v>
      </c>
      <c r="G45" s="1" t="s">
        <v>92</v>
      </c>
      <c r="H45" s="1" t="s">
        <v>93</v>
      </c>
      <c r="I45" s="31">
        <v>2</v>
      </c>
      <c r="J45" s="32">
        <v>62.99</v>
      </c>
      <c r="K45" s="32">
        <v>125.98</v>
      </c>
      <c r="L45" s="32">
        <v>92.32</v>
      </c>
      <c r="M45" s="32">
        <v>33.659999999999997</v>
      </c>
      <c r="N45" s="1" t="s">
        <v>117</v>
      </c>
      <c r="O45" s="1" t="s">
        <v>78</v>
      </c>
    </row>
    <row r="46" spans="1:15" ht="18.95" customHeight="1" x14ac:dyDescent="0.25">
      <c r="A46" s="1" t="s">
        <v>217</v>
      </c>
      <c r="B46" s="30">
        <v>45329.5</v>
      </c>
      <c r="C46" s="1" t="s">
        <v>218</v>
      </c>
      <c r="D46" s="1" t="s">
        <v>219</v>
      </c>
      <c r="E46" s="1" t="s">
        <v>82</v>
      </c>
      <c r="F46" s="1" t="s">
        <v>83</v>
      </c>
      <c r="G46" s="1" t="s">
        <v>106</v>
      </c>
      <c r="H46" s="1" t="s">
        <v>99</v>
      </c>
      <c r="I46" s="31">
        <v>3</v>
      </c>
      <c r="J46" s="32">
        <v>79.989999999999995</v>
      </c>
      <c r="K46" s="32">
        <v>239.97</v>
      </c>
      <c r="L46" s="32">
        <v>166.78</v>
      </c>
      <c r="M46" s="32">
        <v>73.19</v>
      </c>
      <c r="N46" s="1" t="s">
        <v>86</v>
      </c>
      <c r="O46" s="1" t="s">
        <v>78</v>
      </c>
    </row>
    <row r="47" spans="1:15" ht="18.95" customHeight="1" x14ac:dyDescent="0.25">
      <c r="A47" s="1" t="s">
        <v>220</v>
      </c>
      <c r="B47" s="30">
        <v>45329.5</v>
      </c>
      <c r="C47" s="1" t="s">
        <v>221</v>
      </c>
      <c r="D47" s="1" t="s">
        <v>222</v>
      </c>
      <c r="E47" s="1" t="s">
        <v>183</v>
      </c>
      <c r="F47" s="1" t="s">
        <v>137</v>
      </c>
      <c r="G47" s="1" t="s">
        <v>184</v>
      </c>
      <c r="H47" s="1" t="s">
        <v>99</v>
      </c>
      <c r="I47" s="31">
        <v>1</v>
      </c>
      <c r="J47" s="32">
        <v>169.99</v>
      </c>
      <c r="K47" s="32">
        <v>169.99</v>
      </c>
      <c r="L47" s="32">
        <v>136.84</v>
      </c>
      <c r="M47" s="32">
        <v>33.15</v>
      </c>
      <c r="N47" s="1" t="s">
        <v>77</v>
      </c>
      <c r="O47" s="1" t="s">
        <v>78</v>
      </c>
    </row>
    <row r="48" spans="1:15" ht="18.95" customHeight="1" x14ac:dyDescent="0.25">
      <c r="A48" s="1" t="s">
        <v>223</v>
      </c>
      <c r="B48" s="30">
        <v>45331.5</v>
      </c>
      <c r="C48" s="1" t="s">
        <v>224</v>
      </c>
      <c r="D48" s="1" t="s">
        <v>225</v>
      </c>
      <c r="E48" s="1" t="s">
        <v>74</v>
      </c>
      <c r="F48" s="1" t="s">
        <v>74</v>
      </c>
      <c r="G48" s="1" t="s">
        <v>226</v>
      </c>
      <c r="H48" s="1" t="s">
        <v>85</v>
      </c>
      <c r="I48" s="31">
        <v>1</v>
      </c>
      <c r="J48" s="32">
        <v>74.989999999999995</v>
      </c>
      <c r="K48" s="32">
        <v>74.989999999999995</v>
      </c>
      <c r="L48" s="32">
        <v>52.49</v>
      </c>
      <c r="M48" s="32">
        <v>22.5</v>
      </c>
      <c r="N48" s="1" t="s">
        <v>111</v>
      </c>
      <c r="O48" s="1" t="s">
        <v>112</v>
      </c>
    </row>
    <row r="49" spans="1:15" ht="18.95" customHeight="1" x14ac:dyDescent="0.25">
      <c r="A49" s="1" t="s">
        <v>223</v>
      </c>
      <c r="B49" s="30">
        <v>45331.5</v>
      </c>
      <c r="C49" s="1" t="s">
        <v>224</v>
      </c>
      <c r="D49" s="1" t="s">
        <v>225</v>
      </c>
      <c r="E49" s="1" t="s">
        <v>74</v>
      </c>
      <c r="F49" s="1" t="s">
        <v>74</v>
      </c>
      <c r="G49" s="1" t="s">
        <v>106</v>
      </c>
      <c r="H49" s="1" t="s">
        <v>99</v>
      </c>
      <c r="I49" s="31">
        <v>3</v>
      </c>
      <c r="J49" s="32">
        <v>67.989999999999995</v>
      </c>
      <c r="K49" s="32">
        <v>203.97</v>
      </c>
      <c r="L49" s="32">
        <v>169.9</v>
      </c>
      <c r="M49" s="32">
        <v>34.07</v>
      </c>
      <c r="N49" s="1" t="s">
        <v>111</v>
      </c>
      <c r="O49" s="1" t="s">
        <v>112</v>
      </c>
    </row>
    <row r="50" spans="1:15" ht="18.95" customHeight="1" x14ac:dyDescent="0.25">
      <c r="A50" s="1" t="s">
        <v>223</v>
      </c>
      <c r="B50" s="30">
        <v>45331.5</v>
      </c>
      <c r="C50" s="1" t="s">
        <v>224</v>
      </c>
      <c r="D50" s="1" t="s">
        <v>225</v>
      </c>
      <c r="E50" s="1" t="s">
        <v>74</v>
      </c>
      <c r="F50" s="1" t="s">
        <v>74</v>
      </c>
      <c r="G50" s="1" t="s">
        <v>189</v>
      </c>
      <c r="H50" s="1" t="s">
        <v>93</v>
      </c>
      <c r="I50" s="31">
        <v>2</v>
      </c>
      <c r="J50" s="32">
        <v>42.74</v>
      </c>
      <c r="K50" s="32">
        <v>85.48</v>
      </c>
      <c r="L50" s="32">
        <v>55.43</v>
      </c>
      <c r="M50" s="32">
        <v>30.05</v>
      </c>
      <c r="N50" s="1" t="s">
        <v>111</v>
      </c>
      <c r="O50" s="1" t="s">
        <v>112</v>
      </c>
    </row>
    <row r="51" spans="1:15" ht="18.95" customHeight="1" x14ac:dyDescent="0.25">
      <c r="A51" s="1" t="s">
        <v>227</v>
      </c>
      <c r="B51" s="30">
        <v>45333.5</v>
      </c>
      <c r="C51" s="1" t="s">
        <v>228</v>
      </c>
      <c r="D51" s="1" t="s">
        <v>229</v>
      </c>
      <c r="E51" s="1" t="s">
        <v>212</v>
      </c>
      <c r="F51" s="1" t="s">
        <v>83</v>
      </c>
      <c r="G51" s="1" t="s">
        <v>230</v>
      </c>
      <c r="H51" s="1" t="s">
        <v>128</v>
      </c>
      <c r="I51" s="31">
        <v>1</v>
      </c>
      <c r="J51" s="32">
        <v>44.99</v>
      </c>
      <c r="K51" s="32">
        <v>44.99</v>
      </c>
      <c r="L51" s="32">
        <v>31.49</v>
      </c>
      <c r="M51" s="32">
        <v>13.5</v>
      </c>
      <c r="N51" s="1" t="s">
        <v>77</v>
      </c>
      <c r="O51" s="1" t="s">
        <v>118</v>
      </c>
    </row>
    <row r="52" spans="1:15" ht="18.95" customHeight="1" x14ac:dyDescent="0.25">
      <c r="A52" s="1" t="s">
        <v>231</v>
      </c>
      <c r="B52" s="30">
        <v>45333.5</v>
      </c>
      <c r="C52" s="1" t="s">
        <v>172</v>
      </c>
      <c r="D52" s="1" t="s">
        <v>173</v>
      </c>
      <c r="E52" s="1" t="s">
        <v>174</v>
      </c>
      <c r="F52" s="1" t="s">
        <v>175</v>
      </c>
      <c r="G52" s="1" t="s">
        <v>92</v>
      </c>
      <c r="H52" s="1" t="s">
        <v>93</v>
      </c>
      <c r="I52" s="31">
        <v>1</v>
      </c>
      <c r="J52" s="32">
        <v>69.989999999999995</v>
      </c>
      <c r="K52" s="32">
        <v>69.989999999999995</v>
      </c>
      <c r="L52" s="32">
        <v>46.54</v>
      </c>
      <c r="M52" s="32">
        <v>23.45</v>
      </c>
      <c r="N52" s="1" t="s">
        <v>100</v>
      </c>
      <c r="O52" s="1" t="s">
        <v>78</v>
      </c>
    </row>
    <row r="53" spans="1:15" ht="18.95" customHeight="1" x14ac:dyDescent="0.25">
      <c r="A53" s="1" t="s">
        <v>232</v>
      </c>
      <c r="B53" s="30">
        <v>45335.5</v>
      </c>
      <c r="C53" s="1" t="s">
        <v>114</v>
      </c>
      <c r="D53" s="1" t="s">
        <v>115</v>
      </c>
      <c r="E53" s="1" t="s">
        <v>104</v>
      </c>
      <c r="F53" s="1" t="s">
        <v>105</v>
      </c>
      <c r="G53" s="1" t="s">
        <v>226</v>
      </c>
      <c r="H53" s="1" t="s">
        <v>85</v>
      </c>
      <c r="I53" s="31">
        <v>2</v>
      </c>
      <c r="J53" s="32">
        <v>74.989999999999995</v>
      </c>
      <c r="K53" s="32">
        <v>149.97999999999999</v>
      </c>
      <c r="L53" s="32">
        <v>102.74</v>
      </c>
      <c r="M53" s="32">
        <v>47.24</v>
      </c>
      <c r="N53" s="1" t="s">
        <v>86</v>
      </c>
      <c r="O53" s="1" t="s">
        <v>233</v>
      </c>
    </row>
    <row r="54" spans="1:15" ht="18.95" customHeight="1" x14ac:dyDescent="0.25">
      <c r="A54" s="1" t="s">
        <v>232</v>
      </c>
      <c r="B54" s="30">
        <v>45335.5</v>
      </c>
      <c r="C54" s="1" t="s">
        <v>114</v>
      </c>
      <c r="D54" s="1" t="s">
        <v>115</v>
      </c>
      <c r="E54" s="1" t="s">
        <v>104</v>
      </c>
      <c r="F54" s="1" t="s">
        <v>105</v>
      </c>
      <c r="G54" s="1" t="s">
        <v>143</v>
      </c>
      <c r="H54" s="1" t="s">
        <v>128</v>
      </c>
      <c r="I54" s="31">
        <v>1</v>
      </c>
      <c r="J54" s="32">
        <v>94.99</v>
      </c>
      <c r="K54" s="32">
        <v>94.99</v>
      </c>
      <c r="L54" s="32">
        <v>74.569999999999993</v>
      </c>
      <c r="M54" s="32">
        <v>20.420000000000002</v>
      </c>
      <c r="N54" s="1" t="s">
        <v>86</v>
      </c>
      <c r="O54" s="1" t="s">
        <v>233</v>
      </c>
    </row>
    <row r="55" spans="1:15" ht="18.95" customHeight="1" x14ac:dyDescent="0.25">
      <c r="A55" s="1" t="s">
        <v>232</v>
      </c>
      <c r="B55" s="30">
        <v>45335.5</v>
      </c>
      <c r="C55" s="1" t="s">
        <v>114</v>
      </c>
      <c r="D55" s="1" t="s">
        <v>115</v>
      </c>
      <c r="E55" s="1" t="s">
        <v>104</v>
      </c>
      <c r="F55" s="1" t="s">
        <v>105</v>
      </c>
      <c r="G55" s="1" t="s">
        <v>98</v>
      </c>
      <c r="H55" s="1" t="s">
        <v>99</v>
      </c>
      <c r="I55" s="31">
        <v>4</v>
      </c>
      <c r="J55" s="32">
        <v>25.49</v>
      </c>
      <c r="K55" s="32">
        <v>101.96</v>
      </c>
      <c r="L55" s="32">
        <v>65.41</v>
      </c>
      <c r="M55" s="32">
        <v>36.549999999999997</v>
      </c>
      <c r="N55" s="1" t="s">
        <v>86</v>
      </c>
      <c r="O55" s="1" t="s">
        <v>233</v>
      </c>
    </row>
    <row r="56" spans="1:15" ht="18.95" customHeight="1" x14ac:dyDescent="0.25">
      <c r="A56" s="1" t="s">
        <v>234</v>
      </c>
      <c r="B56" s="30">
        <v>45335.5</v>
      </c>
      <c r="C56" s="1" t="s">
        <v>235</v>
      </c>
      <c r="D56" s="1" t="s">
        <v>236</v>
      </c>
      <c r="E56" s="1" t="s">
        <v>237</v>
      </c>
      <c r="F56" s="1" t="s">
        <v>238</v>
      </c>
      <c r="G56" s="1" t="s">
        <v>75</v>
      </c>
      <c r="H56" s="1" t="s">
        <v>76</v>
      </c>
      <c r="I56" s="31">
        <v>1</v>
      </c>
      <c r="J56" s="32">
        <v>26.99</v>
      </c>
      <c r="K56" s="32">
        <v>26.99</v>
      </c>
      <c r="L56" s="32">
        <v>14.71</v>
      </c>
      <c r="M56" s="32">
        <v>12.28</v>
      </c>
      <c r="N56" s="1" t="s">
        <v>117</v>
      </c>
      <c r="O56" s="1" t="s">
        <v>233</v>
      </c>
    </row>
    <row r="57" spans="1:15" ht="18.95" customHeight="1" x14ac:dyDescent="0.25">
      <c r="A57" s="1" t="s">
        <v>239</v>
      </c>
      <c r="B57" s="30">
        <v>45337.5</v>
      </c>
      <c r="C57" s="1" t="s">
        <v>102</v>
      </c>
      <c r="D57" s="1" t="s">
        <v>103</v>
      </c>
      <c r="E57" s="1" t="s">
        <v>104</v>
      </c>
      <c r="F57" s="1" t="s">
        <v>105</v>
      </c>
      <c r="G57" s="1" t="s">
        <v>189</v>
      </c>
      <c r="H57" s="1" t="s">
        <v>93</v>
      </c>
      <c r="I57" s="31">
        <v>2</v>
      </c>
      <c r="J57" s="32">
        <v>44.99</v>
      </c>
      <c r="K57" s="32">
        <v>89.98</v>
      </c>
      <c r="L57" s="32">
        <v>55.79</v>
      </c>
      <c r="M57" s="32">
        <v>34.19</v>
      </c>
      <c r="N57" s="1" t="s">
        <v>111</v>
      </c>
      <c r="O57" s="1" t="s">
        <v>112</v>
      </c>
    </row>
    <row r="58" spans="1:15" ht="18.95" customHeight="1" x14ac:dyDescent="0.25">
      <c r="A58" s="1" t="s">
        <v>240</v>
      </c>
      <c r="B58" s="30">
        <v>45337.5</v>
      </c>
      <c r="C58" s="1" t="s">
        <v>241</v>
      </c>
      <c r="D58" s="1" t="s">
        <v>242</v>
      </c>
      <c r="E58" s="1" t="s">
        <v>243</v>
      </c>
      <c r="F58" s="1" t="s">
        <v>165</v>
      </c>
      <c r="G58" s="1" t="s">
        <v>84</v>
      </c>
      <c r="H58" s="1" t="s">
        <v>85</v>
      </c>
      <c r="I58" s="31">
        <v>2</v>
      </c>
      <c r="J58" s="32">
        <v>8.99</v>
      </c>
      <c r="K58" s="32">
        <v>17.98</v>
      </c>
      <c r="L58" s="32">
        <v>8</v>
      </c>
      <c r="M58" s="32">
        <v>9.98</v>
      </c>
      <c r="N58" s="1" t="s">
        <v>77</v>
      </c>
      <c r="O58" s="1" t="s">
        <v>78</v>
      </c>
    </row>
    <row r="59" spans="1:15" ht="18.95" customHeight="1" x14ac:dyDescent="0.25">
      <c r="A59" s="1" t="s">
        <v>240</v>
      </c>
      <c r="B59" s="30">
        <v>45337.5</v>
      </c>
      <c r="C59" s="1" t="s">
        <v>241</v>
      </c>
      <c r="D59" s="1" t="s">
        <v>242</v>
      </c>
      <c r="E59" s="1" t="s">
        <v>243</v>
      </c>
      <c r="F59" s="1" t="s">
        <v>165</v>
      </c>
      <c r="G59" s="1" t="s">
        <v>75</v>
      </c>
      <c r="H59" s="1" t="s">
        <v>76</v>
      </c>
      <c r="I59" s="31">
        <v>1</v>
      </c>
      <c r="J59" s="32">
        <v>26.99</v>
      </c>
      <c r="K59" s="32">
        <v>26.99</v>
      </c>
      <c r="L59" s="32">
        <v>14.44</v>
      </c>
      <c r="M59" s="32">
        <v>12.55</v>
      </c>
      <c r="N59" s="1" t="s">
        <v>77</v>
      </c>
      <c r="O59" s="1" t="s">
        <v>78</v>
      </c>
    </row>
    <row r="60" spans="1:15" ht="18.95" customHeight="1" x14ac:dyDescent="0.25">
      <c r="A60" s="1" t="s">
        <v>244</v>
      </c>
      <c r="B60" s="30">
        <v>45338.5</v>
      </c>
      <c r="C60" s="1" t="s">
        <v>245</v>
      </c>
      <c r="D60" s="1" t="s">
        <v>246</v>
      </c>
      <c r="E60" s="1" t="s">
        <v>104</v>
      </c>
      <c r="F60" s="1" t="s">
        <v>105</v>
      </c>
      <c r="G60" s="1" t="s">
        <v>195</v>
      </c>
      <c r="H60" s="1" t="s">
        <v>128</v>
      </c>
      <c r="I60" s="31">
        <v>3</v>
      </c>
      <c r="J60" s="32">
        <v>111.99</v>
      </c>
      <c r="K60" s="32">
        <v>335.97</v>
      </c>
      <c r="L60" s="32">
        <v>338.5</v>
      </c>
      <c r="M60" s="32">
        <v>-2.5299999999999998</v>
      </c>
      <c r="N60" s="1" t="s">
        <v>86</v>
      </c>
      <c r="O60" s="1" t="s">
        <v>118</v>
      </c>
    </row>
    <row r="61" spans="1:15" ht="18.95" customHeight="1" x14ac:dyDescent="0.25">
      <c r="A61" s="1" t="s">
        <v>247</v>
      </c>
      <c r="B61" s="30">
        <v>45340.5</v>
      </c>
      <c r="C61" s="1" t="s">
        <v>248</v>
      </c>
      <c r="D61" s="1" t="s">
        <v>249</v>
      </c>
      <c r="E61" s="1" t="s">
        <v>74</v>
      </c>
      <c r="F61" s="1" t="s">
        <v>74</v>
      </c>
      <c r="G61" s="1" t="s">
        <v>151</v>
      </c>
      <c r="H61" s="1" t="s">
        <v>76</v>
      </c>
      <c r="I61" s="31">
        <v>1</v>
      </c>
      <c r="J61" s="32">
        <v>18.989999999999998</v>
      </c>
      <c r="K61" s="32">
        <v>18.989999999999998</v>
      </c>
      <c r="L61" s="32">
        <v>9.2100000000000009</v>
      </c>
      <c r="M61" s="32">
        <v>9.7799999999999994</v>
      </c>
      <c r="N61" s="1" t="s">
        <v>77</v>
      </c>
      <c r="O61" s="1" t="s">
        <v>78</v>
      </c>
    </row>
    <row r="62" spans="1:15" ht="18.95" customHeight="1" x14ac:dyDescent="0.25">
      <c r="A62" s="1" t="s">
        <v>250</v>
      </c>
      <c r="B62" s="30">
        <v>45341.5</v>
      </c>
      <c r="C62" s="1" t="s">
        <v>251</v>
      </c>
      <c r="D62" s="1" t="s">
        <v>252</v>
      </c>
      <c r="E62" s="1" t="s">
        <v>243</v>
      </c>
      <c r="F62" s="1" t="s">
        <v>165</v>
      </c>
      <c r="G62" s="1" t="s">
        <v>179</v>
      </c>
      <c r="H62" s="1" t="s">
        <v>128</v>
      </c>
      <c r="I62" s="31">
        <v>1</v>
      </c>
      <c r="J62" s="32">
        <v>39.99</v>
      </c>
      <c r="K62" s="32">
        <v>39.99</v>
      </c>
      <c r="L62" s="32">
        <v>23.99</v>
      </c>
      <c r="M62" s="32">
        <v>16</v>
      </c>
      <c r="N62" s="1" t="s">
        <v>111</v>
      </c>
      <c r="O62" s="1" t="s">
        <v>112</v>
      </c>
    </row>
    <row r="63" spans="1:15" ht="18.95" customHeight="1" x14ac:dyDescent="0.25">
      <c r="A63" s="1" t="s">
        <v>253</v>
      </c>
      <c r="B63" s="30">
        <v>45342.5</v>
      </c>
      <c r="C63" s="1" t="s">
        <v>254</v>
      </c>
      <c r="D63" s="1" t="s">
        <v>255</v>
      </c>
      <c r="E63" s="1" t="s">
        <v>90</v>
      </c>
      <c r="F63" s="1" t="s">
        <v>91</v>
      </c>
      <c r="G63" s="1" t="s">
        <v>92</v>
      </c>
      <c r="H63" s="1" t="s">
        <v>93</v>
      </c>
      <c r="I63" s="31">
        <v>1</v>
      </c>
      <c r="J63" s="32">
        <v>69.989999999999995</v>
      </c>
      <c r="K63" s="32">
        <v>69.989999999999995</v>
      </c>
      <c r="L63" s="32">
        <v>46.54</v>
      </c>
      <c r="M63" s="32">
        <v>23.45</v>
      </c>
      <c r="N63" s="1" t="s">
        <v>86</v>
      </c>
      <c r="O63" s="1" t="s">
        <v>78</v>
      </c>
    </row>
    <row r="64" spans="1:15" ht="18.95" customHeight="1" x14ac:dyDescent="0.25">
      <c r="A64" s="1" t="s">
        <v>256</v>
      </c>
      <c r="B64" s="30">
        <v>45344.5</v>
      </c>
      <c r="C64" s="1" t="s">
        <v>257</v>
      </c>
      <c r="D64" s="1" t="s">
        <v>258</v>
      </c>
      <c r="E64" s="1" t="s">
        <v>212</v>
      </c>
      <c r="F64" s="1" t="s">
        <v>83</v>
      </c>
      <c r="G64" s="1" t="s">
        <v>259</v>
      </c>
      <c r="H64" s="1" t="s">
        <v>85</v>
      </c>
      <c r="I64" s="31">
        <v>1</v>
      </c>
      <c r="J64" s="32">
        <v>199.99</v>
      </c>
      <c r="K64" s="32">
        <v>199.99</v>
      </c>
      <c r="L64" s="32">
        <v>158.99</v>
      </c>
      <c r="M64" s="32">
        <v>41</v>
      </c>
      <c r="N64" s="1" t="s">
        <v>111</v>
      </c>
      <c r="O64" s="1" t="s">
        <v>78</v>
      </c>
    </row>
    <row r="65" spans="1:15" ht="18.95" customHeight="1" x14ac:dyDescent="0.25">
      <c r="A65" s="1" t="s">
        <v>256</v>
      </c>
      <c r="B65" s="30">
        <v>45344.5</v>
      </c>
      <c r="C65" s="1" t="s">
        <v>257</v>
      </c>
      <c r="D65" s="1" t="s">
        <v>258</v>
      </c>
      <c r="E65" s="1" t="s">
        <v>212</v>
      </c>
      <c r="F65" s="1" t="s">
        <v>83</v>
      </c>
      <c r="G65" s="1" t="s">
        <v>116</v>
      </c>
      <c r="H65" s="1" t="s">
        <v>76</v>
      </c>
      <c r="I65" s="31">
        <v>1</v>
      </c>
      <c r="J65" s="32">
        <v>14.99</v>
      </c>
      <c r="K65" s="32">
        <v>14.99</v>
      </c>
      <c r="L65" s="32">
        <v>6.82</v>
      </c>
      <c r="M65" s="32">
        <v>8.17</v>
      </c>
      <c r="N65" s="1" t="s">
        <v>111</v>
      </c>
      <c r="O65" s="1" t="s">
        <v>78</v>
      </c>
    </row>
    <row r="66" spans="1:15" ht="18.95" customHeight="1" x14ac:dyDescent="0.25">
      <c r="A66" s="1" t="s">
        <v>260</v>
      </c>
      <c r="B66" s="30">
        <v>45348.5</v>
      </c>
      <c r="C66" s="1" t="s">
        <v>261</v>
      </c>
      <c r="D66" s="1" t="s">
        <v>262</v>
      </c>
      <c r="E66" s="1" t="s">
        <v>169</v>
      </c>
      <c r="F66" s="1" t="s">
        <v>170</v>
      </c>
      <c r="G66" s="1" t="s">
        <v>179</v>
      </c>
      <c r="H66" s="1" t="s">
        <v>128</v>
      </c>
      <c r="I66" s="31">
        <v>2</v>
      </c>
      <c r="J66" s="32">
        <v>39.99</v>
      </c>
      <c r="K66" s="32">
        <v>79.98</v>
      </c>
      <c r="L66" s="32">
        <v>45.99</v>
      </c>
      <c r="M66" s="32">
        <v>33.99</v>
      </c>
      <c r="N66" s="1" t="s">
        <v>86</v>
      </c>
      <c r="O66" s="1" t="s">
        <v>78</v>
      </c>
    </row>
    <row r="67" spans="1:15" ht="18.95" customHeight="1" x14ac:dyDescent="0.25">
      <c r="A67" s="1" t="s">
        <v>263</v>
      </c>
      <c r="B67" s="30">
        <v>45348.5</v>
      </c>
      <c r="C67" s="1" t="s">
        <v>264</v>
      </c>
      <c r="D67" s="1" t="s">
        <v>265</v>
      </c>
      <c r="E67" s="1" t="s">
        <v>90</v>
      </c>
      <c r="F67" s="1" t="s">
        <v>91</v>
      </c>
      <c r="G67" s="1" t="s">
        <v>230</v>
      </c>
      <c r="H67" s="1" t="s">
        <v>128</v>
      </c>
      <c r="I67" s="31">
        <v>1</v>
      </c>
      <c r="J67" s="32">
        <v>44.99</v>
      </c>
      <c r="K67" s="32">
        <v>44.99</v>
      </c>
      <c r="L67" s="32">
        <v>28.57</v>
      </c>
      <c r="M67" s="32">
        <v>16.420000000000002</v>
      </c>
      <c r="N67" s="1" t="s">
        <v>117</v>
      </c>
      <c r="O67" s="1" t="s">
        <v>78</v>
      </c>
    </row>
    <row r="68" spans="1:15" ht="18.95" customHeight="1" x14ac:dyDescent="0.25">
      <c r="A68" s="1" t="s">
        <v>266</v>
      </c>
      <c r="B68" s="30">
        <v>45350.5</v>
      </c>
      <c r="C68" s="1" t="s">
        <v>267</v>
      </c>
      <c r="D68" s="1" t="s">
        <v>268</v>
      </c>
      <c r="E68" s="1" t="s">
        <v>212</v>
      </c>
      <c r="F68" s="1" t="s">
        <v>83</v>
      </c>
      <c r="G68" s="1" t="s">
        <v>188</v>
      </c>
      <c r="H68" s="1" t="s">
        <v>76</v>
      </c>
      <c r="I68" s="31">
        <v>1</v>
      </c>
      <c r="J68" s="32">
        <v>84.99</v>
      </c>
      <c r="K68" s="32">
        <v>84.99</v>
      </c>
      <c r="L68" s="32">
        <v>62.04</v>
      </c>
      <c r="M68" s="32">
        <v>22.95</v>
      </c>
      <c r="N68" s="1" t="s">
        <v>86</v>
      </c>
      <c r="O68" s="1" t="s">
        <v>112</v>
      </c>
    </row>
    <row r="69" spans="1:15" ht="18.95" customHeight="1" x14ac:dyDescent="0.25">
      <c r="A69" s="1" t="s">
        <v>269</v>
      </c>
      <c r="B69" s="30">
        <v>45354.5</v>
      </c>
      <c r="C69" s="1" t="s">
        <v>270</v>
      </c>
      <c r="D69" s="1" t="s">
        <v>271</v>
      </c>
      <c r="E69" s="1" t="s">
        <v>212</v>
      </c>
      <c r="F69" s="1" t="s">
        <v>83</v>
      </c>
      <c r="G69" s="1" t="s">
        <v>226</v>
      </c>
      <c r="H69" s="1" t="s">
        <v>85</v>
      </c>
      <c r="I69" s="31">
        <v>1</v>
      </c>
      <c r="J69" s="32">
        <v>63.74</v>
      </c>
      <c r="K69" s="32">
        <v>63.74</v>
      </c>
      <c r="L69" s="32">
        <v>51.59</v>
      </c>
      <c r="M69" s="32">
        <v>12.15</v>
      </c>
      <c r="N69" s="1" t="s">
        <v>86</v>
      </c>
      <c r="O69" s="1" t="s">
        <v>112</v>
      </c>
    </row>
    <row r="70" spans="1:15" ht="18.95" customHeight="1" x14ac:dyDescent="0.25">
      <c r="A70" s="1" t="s">
        <v>272</v>
      </c>
      <c r="B70" s="30">
        <v>45355.5</v>
      </c>
      <c r="C70" s="1" t="s">
        <v>273</v>
      </c>
      <c r="D70" s="1" t="s">
        <v>274</v>
      </c>
      <c r="E70" s="1" t="s">
        <v>169</v>
      </c>
      <c r="F70" s="1" t="s">
        <v>170</v>
      </c>
      <c r="G70" s="1" t="s">
        <v>155</v>
      </c>
      <c r="H70" s="1" t="s">
        <v>93</v>
      </c>
      <c r="I70" s="31">
        <v>1</v>
      </c>
      <c r="J70" s="32">
        <v>26.59</v>
      </c>
      <c r="K70" s="32">
        <v>26.59</v>
      </c>
      <c r="L70" s="32">
        <v>14.72</v>
      </c>
      <c r="M70" s="32">
        <v>11.87</v>
      </c>
      <c r="N70" s="1" t="s">
        <v>86</v>
      </c>
      <c r="O70" s="1" t="s">
        <v>112</v>
      </c>
    </row>
    <row r="71" spans="1:15" ht="18.95" customHeight="1" x14ac:dyDescent="0.25">
      <c r="A71" s="1" t="s">
        <v>272</v>
      </c>
      <c r="B71" s="30">
        <v>45355.5</v>
      </c>
      <c r="C71" s="1" t="s">
        <v>273</v>
      </c>
      <c r="D71" s="1" t="s">
        <v>274</v>
      </c>
      <c r="E71" s="1" t="s">
        <v>169</v>
      </c>
      <c r="F71" s="1" t="s">
        <v>170</v>
      </c>
      <c r="G71" s="1" t="s">
        <v>157</v>
      </c>
      <c r="H71" s="1" t="s">
        <v>93</v>
      </c>
      <c r="I71" s="31">
        <v>1</v>
      </c>
      <c r="J71" s="32">
        <v>15.99</v>
      </c>
      <c r="K71" s="32">
        <v>15.99</v>
      </c>
      <c r="L71" s="32">
        <v>10.07</v>
      </c>
      <c r="M71" s="32">
        <v>5.92</v>
      </c>
      <c r="N71" s="1" t="s">
        <v>86</v>
      </c>
      <c r="O71" s="1" t="s">
        <v>112</v>
      </c>
    </row>
    <row r="72" spans="1:15" ht="18.95" customHeight="1" x14ac:dyDescent="0.25">
      <c r="A72" s="1" t="s">
        <v>275</v>
      </c>
      <c r="B72" s="30">
        <v>45357.5</v>
      </c>
      <c r="C72" s="1" t="s">
        <v>276</v>
      </c>
      <c r="D72" s="1" t="s">
        <v>277</v>
      </c>
      <c r="E72" s="1" t="s">
        <v>74</v>
      </c>
      <c r="F72" s="1" t="s">
        <v>74</v>
      </c>
      <c r="G72" s="1" t="s">
        <v>179</v>
      </c>
      <c r="H72" s="1" t="s">
        <v>128</v>
      </c>
      <c r="I72" s="31">
        <v>1</v>
      </c>
      <c r="J72" s="32">
        <v>39.99</v>
      </c>
      <c r="K72" s="32">
        <v>39.99</v>
      </c>
      <c r="L72" s="32">
        <v>23.99</v>
      </c>
      <c r="M72" s="32">
        <v>16</v>
      </c>
      <c r="N72" s="1" t="s">
        <v>86</v>
      </c>
      <c r="O72" s="1" t="s">
        <v>112</v>
      </c>
    </row>
    <row r="73" spans="1:15" ht="18.95" customHeight="1" x14ac:dyDescent="0.25">
      <c r="A73" s="1" t="s">
        <v>278</v>
      </c>
      <c r="B73" s="30">
        <v>45360.5</v>
      </c>
      <c r="C73" s="1" t="s">
        <v>102</v>
      </c>
      <c r="D73" s="1" t="s">
        <v>103</v>
      </c>
      <c r="E73" s="1" t="s">
        <v>104</v>
      </c>
      <c r="F73" s="1" t="s">
        <v>105</v>
      </c>
      <c r="G73" s="1" t="s">
        <v>179</v>
      </c>
      <c r="H73" s="1" t="s">
        <v>128</v>
      </c>
      <c r="I73" s="31">
        <v>2</v>
      </c>
      <c r="J73" s="32">
        <v>39.99</v>
      </c>
      <c r="K73" s="32">
        <v>79.98</v>
      </c>
      <c r="L73" s="32">
        <v>46.79</v>
      </c>
      <c r="M73" s="32">
        <v>33.19</v>
      </c>
      <c r="N73" s="1" t="s">
        <v>279</v>
      </c>
      <c r="O73" s="1" t="s">
        <v>233</v>
      </c>
    </row>
    <row r="74" spans="1:15" ht="18.95" customHeight="1" x14ac:dyDescent="0.25">
      <c r="A74" s="1" t="s">
        <v>280</v>
      </c>
      <c r="B74" s="30">
        <v>45360.5</v>
      </c>
      <c r="C74" s="1" t="s">
        <v>153</v>
      </c>
      <c r="D74" s="1" t="s">
        <v>154</v>
      </c>
      <c r="E74" s="1" t="s">
        <v>97</v>
      </c>
      <c r="F74" s="1" t="s">
        <v>91</v>
      </c>
      <c r="G74" s="1" t="s">
        <v>230</v>
      </c>
      <c r="H74" s="1" t="s">
        <v>128</v>
      </c>
      <c r="I74" s="31">
        <v>2</v>
      </c>
      <c r="J74" s="32">
        <v>44.99</v>
      </c>
      <c r="K74" s="32">
        <v>89.98</v>
      </c>
      <c r="L74" s="32">
        <v>59.39</v>
      </c>
      <c r="M74" s="32">
        <v>30.59</v>
      </c>
      <c r="N74" s="1" t="s">
        <v>117</v>
      </c>
      <c r="O74" s="1" t="s">
        <v>112</v>
      </c>
    </row>
    <row r="75" spans="1:15" ht="18.95" customHeight="1" x14ac:dyDescent="0.25">
      <c r="A75" s="1" t="s">
        <v>281</v>
      </c>
      <c r="B75" s="30">
        <v>45362.5</v>
      </c>
      <c r="C75" s="1" t="s">
        <v>282</v>
      </c>
      <c r="D75" s="1" t="s">
        <v>283</v>
      </c>
      <c r="E75" s="1" t="s">
        <v>164</v>
      </c>
      <c r="F75" s="1" t="s">
        <v>165</v>
      </c>
      <c r="G75" s="1" t="s">
        <v>226</v>
      </c>
      <c r="H75" s="1" t="s">
        <v>85</v>
      </c>
      <c r="I75" s="31">
        <v>2</v>
      </c>
      <c r="J75" s="32">
        <v>71.239999999999995</v>
      </c>
      <c r="K75" s="32">
        <v>142.47999999999999</v>
      </c>
      <c r="L75" s="32">
        <v>100.82</v>
      </c>
      <c r="M75" s="32">
        <v>41.66</v>
      </c>
      <c r="N75" s="1" t="s">
        <v>111</v>
      </c>
      <c r="O75" s="1" t="s">
        <v>78</v>
      </c>
    </row>
    <row r="76" spans="1:15" ht="18.95" customHeight="1" x14ac:dyDescent="0.25">
      <c r="A76" s="1" t="s">
        <v>284</v>
      </c>
      <c r="B76" s="30">
        <v>45362.5</v>
      </c>
      <c r="C76" s="1" t="s">
        <v>285</v>
      </c>
      <c r="D76" s="1" t="s">
        <v>286</v>
      </c>
      <c r="E76" s="1" t="s">
        <v>82</v>
      </c>
      <c r="F76" s="1" t="s">
        <v>83</v>
      </c>
      <c r="G76" s="1" t="s">
        <v>116</v>
      </c>
      <c r="H76" s="1" t="s">
        <v>76</v>
      </c>
      <c r="I76" s="31">
        <v>1</v>
      </c>
      <c r="J76" s="32">
        <v>14.24</v>
      </c>
      <c r="K76" s="32">
        <v>14.24</v>
      </c>
      <c r="L76" s="32">
        <v>7.14</v>
      </c>
      <c r="M76" s="32">
        <v>7.1</v>
      </c>
      <c r="N76" s="1" t="s">
        <v>86</v>
      </c>
      <c r="O76" s="1" t="s">
        <v>112</v>
      </c>
    </row>
    <row r="77" spans="1:15" ht="18.95" customHeight="1" x14ac:dyDescent="0.25">
      <c r="A77" s="1" t="s">
        <v>284</v>
      </c>
      <c r="B77" s="30">
        <v>45362.5</v>
      </c>
      <c r="C77" s="1" t="s">
        <v>285</v>
      </c>
      <c r="D77" s="1" t="s">
        <v>286</v>
      </c>
      <c r="E77" s="1" t="s">
        <v>82</v>
      </c>
      <c r="F77" s="1" t="s">
        <v>83</v>
      </c>
      <c r="G77" s="1" t="s">
        <v>179</v>
      </c>
      <c r="H77" s="1" t="s">
        <v>128</v>
      </c>
      <c r="I77" s="31">
        <v>1</v>
      </c>
      <c r="J77" s="32">
        <v>39.99</v>
      </c>
      <c r="K77" s="32">
        <v>39.99</v>
      </c>
      <c r="L77" s="32">
        <v>23.99</v>
      </c>
      <c r="M77" s="32">
        <v>16</v>
      </c>
      <c r="N77" s="1" t="s">
        <v>86</v>
      </c>
      <c r="O77" s="1" t="s">
        <v>112</v>
      </c>
    </row>
    <row r="78" spans="1:15" ht="18.95" customHeight="1" x14ac:dyDescent="0.25">
      <c r="A78" s="1" t="s">
        <v>287</v>
      </c>
      <c r="B78" s="30">
        <v>45362.5</v>
      </c>
      <c r="C78" s="1" t="s">
        <v>288</v>
      </c>
      <c r="D78" s="1" t="s">
        <v>289</v>
      </c>
      <c r="E78" s="1" t="s">
        <v>104</v>
      </c>
      <c r="F78" s="1" t="s">
        <v>105</v>
      </c>
      <c r="G78" s="1" t="s">
        <v>202</v>
      </c>
      <c r="H78" s="1" t="s">
        <v>85</v>
      </c>
      <c r="I78" s="31">
        <v>1</v>
      </c>
      <c r="J78" s="32">
        <v>7.99</v>
      </c>
      <c r="K78" s="32">
        <v>7.99</v>
      </c>
      <c r="L78" s="32">
        <v>4.2699999999999996</v>
      </c>
      <c r="M78" s="32">
        <v>3.72</v>
      </c>
      <c r="N78" s="1" t="s">
        <v>86</v>
      </c>
      <c r="O78" s="1" t="s">
        <v>78</v>
      </c>
    </row>
    <row r="79" spans="1:15" ht="18.95" customHeight="1" x14ac:dyDescent="0.25">
      <c r="A79" s="1" t="s">
        <v>290</v>
      </c>
      <c r="B79" s="30">
        <v>45363.5</v>
      </c>
      <c r="C79" s="1" t="s">
        <v>291</v>
      </c>
      <c r="D79" s="1" t="s">
        <v>292</v>
      </c>
      <c r="E79" s="1" t="s">
        <v>90</v>
      </c>
      <c r="F79" s="1" t="s">
        <v>91</v>
      </c>
      <c r="G79" s="1" t="s">
        <v>293</v>
      </c>
      <c r="H79" s="1" t="s">
        <v>99</v>
      </c>
      <c r="I79" s="31">
        <v>3</v>
      </c>
      <c r="J79" s="32">
        <v>109.99</v>
      </c>
      <c r="K79" s="32">
        <v>329.97</v>
      </c>
      <c r="L79" s="32">
        <v>250.78</v>
      </c>
      <c r="M79" s="32">
        <v>79.19</v>
      </c>
      <c r="N79" s="1" t="s">
        <v>117</v>
      </c>
      <c r="O79" s="1" t="s">
        <v>112</v>
      </c>
    </row>
    <row r="80" spans="1:15" ht="18.95" customHeight="1" x14ac:dyDescent="0.25">
      <c r="A80" s="1" t="s">
        <v>294</v>
      </c>
      <c r="B80" s="30">
        <v>45363.5</v>
      </c>
      <c r="C80" s="1" t="s">
        <v>148</v>
      </c>
      <c r="D80" s="1" t="s">
        <v>149</v>
      </c>
      <c r="E80" s="1" t="s">
        <v>150</v>
      </c>
      <c r="F80" s="1" t="s">
        <v>105</v>
      </c>
      <c r="G80" s="1" t="s">
        <v>84</v>
      </c>
      <c r="H80" s="1" t="s">
        <v>85</v>
      </c>
      <c r="I80" s="31">
        <v>3</v>
      </c>
      <c r="J80" s="32">
        <v>8.09</v>
      </c>
      <c r="K80" s="32">
        <v>24.27</v>
      </c>
      <c r="L80" s="32">
        <v>11.85</v>
      </c>
      <c r="M80" s="32">
        <v>12.42</v>
      </c>
      <c r="N80" s="1" t="s">
        <v>117</v>
      </c>
      <c r="O80" s="1" t="s">
        <v>78</v>
      </c>
    </row>
    <row r="81" spans="1:15" ht="18.95" customHeight="1" x14ac:dyDescent="0.25">
      <c r="A81" s="1" t="s">
        <v>294</v>
      </c>
      <c r="B81" s="30">
        <v>45363.5</v>
      </c>
      <c r="C81" s="1" t="s">
        <v>148</v>
      </c>
      <c r="D81" s="1" t="s">
        <v>149</v>
      </c>
      <c r="E81" s="1" t="s">
        <v>150</v>
      </c>
      <c r="F81" s="1" t="s">
        <v>105</v>
      </c>
      <c r="G81" s="1" t="s">
        <v>259</v>
      </c>
      <c r="H81" s="1" t="s">
        <v>85</v>
      </c>
      <c r="I81" s="31">
        <v>1</v>
      </c>
      <c r="J81" s="32">
        <v>189.99</v>
      </c>
      <c r="K81" s="32">
        <v>189.99</v>
      </c>
      <c r="L81" s="32">
        <v>158.44</v>
      </c>
      <c r="M81" s="32">
        <v>31.55</v>
      </c>
      <c r="N81" s="1" t="s">
        <v>117</v>
      </c>
      <c r="O81" s="1" t="s">
        <v>78</v>
      </c>
    </row>
    <row r="82" spans="1:15" ht="18.95" customHeight="1" x14ac:dyDescent="0.25">
      <c r="A82" s="1" t="s">
        <v>295</v>
      </c>
      <c r="B82" s="30">
        <v>45364.5</v>
      </c>
      <c r="C82" s="1" t="s">
        <v>296</v>
      </c>
      <c r="D82" s="1" t="s">
        <v>297</v>
      </c>
      <c r="E82" s="1" t="s">
        <v>174</v>
      </c>
      <c r="F82" s="1" t="s">
        <v>175</v>
      </c>
      <c r="G82" s="1" t="s">
        <v>143</v>
      </c>
      <c r="H82" s="1" t="s">
        <v>128</v>
      </c>
      <c r="I82" s="31">
        <v>2</v>
      </c>
      <c r="J82" s="32">
        <v>94.99</v>
      </c>
      <c r="K82" s="32">
        <v>189.98</v>
      </c>
      <c r="L82" s="32">
        <v>147.22999999999999</v>
      </c>
      <c r="M82" s="32">
        <v>42.75</v>
      </c>
      <c r="N82" s="1" t="s">
        <v>117</v>
      </c>
      <c r="O82" s="1" t="s">
        <v>78</v>
      </c>
    </row>
    <row r="83" spans="1:15" ht="18.95" customHeight="1" x14ac:dyDescent="0.25">
      <c r="A83" s="1" t="s">
        <v>295</v>
      </c>
      <c r="B83" s="30">
        <v>45364.5</v>
      </c>
      <c r="C83" s="1" t="s">
        <v>296</v>
      </c>
      <c r="D83" s="1" t="s">
        <v>297</v>
      </c>
      <c r="E83" s="1" t="s">
        <v>174</v>
      </c>
      <c r="F83" s="1" t="s">
        <v>175</v>
      </c>
      <c r="G83" s="1" t="s">
        <v>127</v>
      </c>
      <c r="H83" s="1" t="s">
        <v>128</v>
      </c>
      <c r="I83" s="31">
        <v>2</v>
      </c>
      <c r="J83" s="32">
        <v>24.99</v>
      </c>
      <c r="K83" s="32">
        <v>49.98</v>
      </c>
      <c r="L83" s="32">
        <v>30.24</v>
      </c>
      <c r="M83" s="32">
        <v>19.739999999999998</v>
      </c>
      <c r="N83" s="1" t="s">
        <v>117</v>
      </c>
      <c r="O83" s="1" t="s">
        <v>78</v>
      </c>
    </row>
    <row r="84" spans="1:15" ht="18.95" customHeight="1" x14ac:dyDescent="0.25">
      <c r="A84" s="1" t="s">
        <v>298</v>
      </c>
      <c r="B84" s="30">
        <v>45366.5</v>
      </c>
      <c r="C84" s="1" t="s">
        <v>299</v>
      </c>
      <c r="D84" s="1" t="s">
        <v>300</v>
      </c>
      <c r="E84" s="1" t="s">
        <v>174</v>
      </c>
      <c r="F84" s="1" t="s">
        <v>175</v>
      </c>
      <c r="G84" s="1" t="s">
        <v>202</v>
      </c>
      <c r="H84" s="1" t="s">
        <v>85</v>
      </c>
      <c r="I84" s="31">
        <v>1</v>
      </c>
      <c r="J84" s="32">
        <v>7.19</v>
      </c>
      <c r="K84" s="32">
        <v>7.19</v>
      </c>
      <c r="L84" s="32">
        <v>4.7</v>
      </c>
      <c r="M84" s="32">
        <v>2.4900000000000002</v>
      </c>
      <c r="N84" s="1" t="s">
        <v>77</v>
      </c>
      <c r="O84" s="1" t="s">
        <v>118</v>
      </c>
    </row>
    <row r="85" spans="1:15" ht="18.95" customHeight="1" x14ac:dyDescent="0.25">
      <c r="A85" s="1" t="s">
        <v>301</v>
      </c>
      <c r="B85" s="30">
        <v>45367.5</v>
      </c>
      <c r="C85" s="1" t="s">
        <v>235</v>
      </c>
      <c r="D85" s="1" t="s">
        <v>236</v>
      </c>
      <c r="E85" s="1" t="s">
        <v>237</v>
      </c>
      <c r="F85" s="1" t="s">
        <v>238</v>
      </c>
      <c r="G85" s="1" t="s">
        <v>293</v>
      </c>
      <c r="H85" s="1" t="s">
        <v>99</v>
      </c>
      <c r="I85" s="31">
        <v>1</v>
      </c>
      <c r="J85" s="32">
        <v>109.99</v>
      </c>
      <c r="K85" s="32">
        <v>109.99</v>
      </c>
      <c r="L85" s="32">
        <v>80.84</v>
      </c>
      <c r="M85" s="32">
        <v>29.15</v>
      </c>
      <c r="N85" s="1" t="s">
        <v>117</v>
      </c>
      <c r="O85" s="1" t="s">
        <v>78</v>
      </c>
    </row>
    <row r="86" spans="1:15" ht="18.95" customHeight="1" x14ac:dyDescent="0.25">
      <c r="A86" s="1" t="s">
        <v>302</v>
      </c>
      <c r="B86" s="30">
        <v>45369.5</v>
      </c>
      <c r="C86" s="1" t="s">
        <v>159</v>
      </c>
      <c r="D86" s="1" t="s">
        <v>160</v>
      </c>
      <c r="E86" s="1" t="s">
        <v>150</v>
      </c>
      <c r="F86" s="1" t="s">
        <v>105</v>
      </c>
      <c r="G86" s="1" t="s">
        <v>92</v>
      </c>
      <c r="H86" s="1" t="s">
        <v>93</v>
      </c>
      <c r="I86" s="31">
        <v>2</v>
      </c>
      <c r="J86" s="32">
        <v>69.989999999999995</v>
      </c>
      <c r="K86" s="32">
        <v>139.97999999999999</v>
      </c>
      <c r="L86" s="32">
        <v>96.59</v>
      </c>
      <c r="M86" s="32">
        <v>43.39</v>
      </c>
      <c r="N86" s="1" t="s">
        <v>117</v>
      </c>
      <c r="O86" s="1" t="s">
        <v>112</v>
      </c>
    </row>
    <row r="87" spans="1:15" ht="18.95" customHeight="1" x14ac:dyDescent="0.25">
      <c r="A87" s="1" t="s">
        <v>302</v>
      </c>
      <c r="B87" s="30">
        <v>45369.5</v>
      </c>
      <c r="C87" s="1" t="s">
        <v>159</v>
      </c>
      <c r="D87" s="1" t="s">
        <v>160</v>
      </c>
      <c r="E87" s="1" t="s">
        <v>150</v>
      </c>
      <c r="F87" s="1" t="s">
        <v>105</v>
      </c>
      <c r="G87" s="1" t="s">
        <v>157</v>
      </c>
      <c r="H87" s="1" t="s">
        <v>93</v>
      </c>
      <c r="I87" s="31">
        <v>1</v>
      </c>
      <c r="J87" s="32">
        <v>19.989999999999998</v>
      </c>
      <c r="K87" s="32">
        <v>19.989999999999998</v>
      </c>
      <c r="L87" s="32">
        <v>10.39</v>
      </c>
      <c r="M87" s="32">
        <v>9.6</v>
      </c>
      <c r="N87" s="1" t="s">
        <v>117</v>
      </c>
      <c r="O87" s="1" t="s">
        <v>112</v>
      </c>
    </row>
    <row r="88" spans="1:15" ht="18.95" customHeight="1" x14ac:dyDescent="0.25">
      <c r="A88" s="1" t="s">
        <v>303</v>
      </c>
      <c r="B88" s="30">
        <v>45371.5</v>
      </c>
      <c r="C88" s="1" t="s">
        <v>304</v>
      </c>
      <c r="D88" s="1" t="s">
        <v>305</v>
      </c>
      <c r="E88" s="1" t="s">
        <v>74</v>
      </c>
      <c r="F88" s="1" t="s">
        <v>74</v>
      </c>
      <c r="G88" s="1" t="s">
        <v>116</v>
      </c>
      <c r="H88" s="1" t="s">
        <v>76</v>
      </c>
      <c r="I88" s="31">
        <v>6</v>
      </c>
      <c r="J88" s="32">
        <v>14.99</v>
      </c>
      <c r="K88" s="32">
        <v>89.94</v>
      </c>
      <c r="L88" s="32">
        <v>40.92</v>
      </c>
      <c r="M88" s="32">
        <v>49.02</v>
      </c>
      <c r="N88" s="1" t="s">
        <v>77</v>
      </c>
      <c r="O88" s="1" t="s">
        <v>78</v>
      </c>
    </row>
    <row r="89" spans="1:15" ht="18.95" customHeight="1" x14ac:dyDescent="0.25">
      <c r="A89" s="1" t="s">
        <v>303</v>
      </c>
      <c r="B89" s="30">
        <v>45371.5</v>
      </c>
      <c r="C89" s="1" t="s">
        <v>304</v>
      </c>
      <c r="D89" s="1" t="s">
        <v>305</v>
      </c>
      <c r="E89" s="1" t="s">
        <v>74</v>
      </c>
      <c r="F89" s="1" t="s">
        <v>74</v>
      </c>
      <c r="G89" s="1" t="s">
        <v>306</v>
      </c>
      <c r="H89" s="1" t="s">
        <v>76</v>
      </c>
      <c r="I89" s="31">
        <v>1</v>
      </c>
      <c r="J89" s="32">
        <v>24.99</v>
      </c>
      <c r="K89" s="32">
        <v>24.99</v>
      </c>
      <c r="L89" s="32">
        <v>12.87</v>
      </c>
      <c r="M89" s="32">
        <v>12.12</v>
      </c>
      <c r="N89" s="1" t="s">
        <v>77</v>
      </c>
      <c r="O89" s="1" t="s">
        <v>78</v>
      </c>
    </row>
    <row r="90" spans="1:15" ht="18.95" customHeight="1" x14ac:dyDescent="0.25">
      <c r="A90" s="1" t="s">
        <v>307</v>
      </c>
      <c r="B90" s="30">
        <v>45373.5</v>
      </c>
      <c r="C90" s="1" t="s">
        <v>304</v>
      </c>
      <c r="D90" s="1" t="s">
        <v>305</v>
      </c>
      <c r="E90" s="1" t="s">
        <v>74</v>
      </c>
      <c r="F90" s="1" t="s">
        <v>74</v>
      </c>
      <c r="G90" s="1" t="s">
        <v>157</v>
      </c>
      <c r="H90" s="1" t="s">
        <v>93</v>
      </c>
      <c r="I90" s="31">
        <v>1</v>
      </c>
      <c r="J90" s="32">
        <v>19.989999999999998</v>
      </c>
      <c r="K90" s="32">
        <v>19.989999999999998</v>
      </c>
      <c r="L90" s="32">
        <v>9.9</v>
      </c>
      <c r="M90" s="32">
        <v>10.09</v>
      </c>
      <c r="N90" s="1" t="s">
        <v>117</v>
      </c>
      <c r="O90" s="1" t="s">
        <v>78</v>
      </c>
    </row>
    <row r="91" spans="1:15" ht="18.95" customHeight="1" x14ac:dyDescent="0.25">
      <c r="A91" s="1" t="s">
        <v>308</v>
      </c>
      <c r="B91" s="30">
        <v>45375.5</v>
      </c>
      <c r="C91" s="1" t="s">
        <v>309</v>
      </c>
      <c r="D91" s="1" t="s">
        <v>310</v>
      </c>
      <c r="E91" s="1" t="s">
        <v>74</v>
      </c>
      <c r="F91" s="1" t="s">
        <v>74</v>
      </c>
      <c r="G91" s="1" t="s">
        <v>184</v>
      </c>
      <c r="H91" s="1" t="s">
        <v>99</v>
      </c>
      <c r="I91" s="31">
        <v>2</v>
      </c>
      <c r="J91" s="32">
        <v>144.49</v>
      </c>
      <c r="K91" s="32">
        <v>288.98</v>
      </c>
      <c r="L91" s="32">
        <v>270.88</v>
      </c>
      <c r="M91" s="32">
        <v>18.100000000000001</v>
      </c>
      <c r="N91" s="1" t="s">
        <v>117</v>
      </c>
      <c r="O91" s="1" t="s">
        <v>78</v>
      </c>
    </row>
    <row r="92" spans="1:15" ht="18.95" customHeight="1" x14ac:dyDescent="0.25">
      <c r="A92" s="1" t="s">
        <v>308</v>
      </c>
      <c r="B92" s="30">
        <v>45375.5</v>
      </c>
      <c r="C92" s="1" t="s">
        <v>309</v>
      </c>
      <c r="D92" s="1" t="s">
        <v>310</v>
      </c>
      <c r="E92" s="1" t="s">
        <v>74</v>
      </c>
      <c r="F92" s="1" t="s">
        <v>74</v>
      </c>
      <c r="G92" s="1" t="s">
        <v>230</v>
      </c>
      <c r="H92" s="1" t="s">
        <v>128</v>
      </c>
      <c r="I92" s="31">
        <v>1</v>
      </c>
      <c r="J92" s="32">
        <v>40.49</v>
      </c>
      <c r="K92" s="32">
        <v>40.49</v>
      </c>
      <c r="L92" s="32">
        <v>28.32</v>
      </c>
      <c r="M92" s="32">
        <v>12.17</v>
      </c>
      <c r="N92" s="1" t="s">
        <v>117</v>
      </c>
      <c r="O92" s="1" t="s">
        <v>78</v>
      </c>
    </row>
    <row r="93" spans="1:15" ht="18.95" customHeight="1" x14ac:dyDescent="0.25">
      <c r="A93" s="1" t="s">
        <v>311</v>
      </c>
      <c r="B93" s="30">
        <v>45376.5</v>
      </c>
      <c r="C93" s="1" t="s">
        <v>80</v>
      </c>
      <c r="D93" s="1" t="s">
        <v>81</v>
      </c>
      <c r="E93" s="1" t="s">
        <v>82</v>
      </c>
      <c r="F93" s="1" t="s">
        <v>83</v>
      </c>
      <c r="G93" s="1" t="s">
        <v>306</v>
      </c>
      <c r="H93" s="1" t="s">
        <v>76</v>
      </c>
      <c r="I93" s="31">
        <v>1</v>
      </c>
      <c r="J93" s="32">
        <v>23.74</v>
      </c>
      <c r="K93" s="32">
        <v>23.74</v>
      </c>
      <c r="L93" s="32">
        <v>12.8</v>
      </c>
      <c r="M93" s="32">
        <v>10.94</v>
      </c>
      <c r="N93" s="1" t="s">
        <v>77</v>
      </c>
      <c r="O93" s="1" t="s">
        <v>78</v>
      </c>
    </row>
    <row r="94" spans="1:15" ht="18.95" customHeight="1" x14ac:dyDescent="0.25">
      <c r="A94" s="1" t="s">
        <v>312</v>
      </c>
      <c r="B94" s="30">
        <v>45376.5</v>
      </c>
      <c r="C94" s="1" t="s">
        <v>313</v>
      </c>
      <c r="D94" s="1" t="s">
        <v>314</v>
      </c>
      <c r="E94" s="1" t="s">
        <v>97</v>
      </c>
      <c r="F94" s="1" t="s">
        <v>91</v>
      </c>
      <c r="G94" s="1" t="s">
        <v>189</v>
      </c>
      <c r="H94" s="1" t="s">
        <v>93</v>
      </c>
      <c r="I94" s="31">
        <v>1</v>
      </c>
      <c r="J94" s="32">
        <v>44.99</v>
      </c>
      <c r="K94" s="32">
        <v>44.99</v>
      </c>
      <c r="L94" s="32">
        <v>27.89</v>
      </c>
      <c r="M94" s="32">
        <v>17.100000000000001</v>
      </c>
      <c r="N94" s="1" t="s">
        <v>315</v>
      </c>
      <c r="O94" s="1" t="s">
        <v>112</v>
      </c>
    </row>
    <row r="95" spans="1:15" ht="18.95" customHeight="1" x14ac:dyDescent="0.25">
      <c r="A95" s="1" t="s">
        <v>316</v>
      </c>
      <c r="B95" s="30">
        <v>45376.5</v>
      </c>
      <c r="C95" s="1" t="s">
        <v>197</v>
      </c>
      <c r="D95" s="1" t="s">
        <v>198</v>
      </c>
      <c r="E95" s="1" t="s">
        <v>136</v>
      </c>
      <c r="F95" s="1" t="s">
        <v>137</v>
      </c>
      <c r="G95" s="1" t="s">
        <v>230</v>
      </c>
      <c r="H95" s="1" t="s">
        <v>128</v>
      </c>
      <c r="I95" s="31">
        <v>1</v>
      </c>
      <c r="J95" s="32">
        <v>44.99</v>
      </c>
      <c r="K95" s="32">
        <v>44.99</v>
      </c>
      <c r="L95" s="32">
        <v>28.57</v>
      </c>
      <c r="M95" s="32">
        <v>16.420000000000002</v>
      </c>
      <c r="N95" s="1" t="s">
        <v>111</v>
      </c>
      <c r="O95" s="1" t="s">
        <v>78</v>
      </c>
    </row>
    <row r="96" spans="1:15" ht="18.95" customHeight="1" x14ac:dyDescent="0.25">
      <c r="A96" s="1" t="s">
        <v>317</v>
      </c>
      <c r="B96" s="30">
        <v>45377.5</v>
      </c>
      <c r="C96" s="1" t="s">
        <v>114</v>
      </c>
      <c r="D96" s="1" t="s">
        <v>115</v>
      </c>
      <c r="E96" s="1" t="s">
        <v>104</v>
      </c>
      <c r="F96" s="1" t="s">
        <v>105</v>
      </c>
      <c r="G96" s="1" t="s">
        <v>306</v>
      </c>
      <c r="H96" s="1" t="s">
        <v>76</v>
      </c>
      <c r="I96" s="31">
        <v>2</v>
      </c>
      <c r="J96" s="32">
        <v>24.99</v>
      </c>
      <c r="K96" s="32">
        <v>49.98</v>
      </c>
      <c r="L96" s="32">
        <v>28.99</v>
      </c>
      <c r="M96" s="32">
        <v>20.99</v>
      </c>
      <c r="N96" s="1" t="s">
        <v>86</v>
      </c>
      <c r="O96" s="1" t="s">
        <v>118</v>
      </c>
    </row>
    <row r="97" spans="1:15" ht="18.95" customHeight="1" x14ac:dyDescent="0.25">
      <c r="A97" s="1" t="s">
        <v>318</v>
      </c>
      <c r="B97" s="30">
        <v>45377.5</v>
      </c>
      <c r="C97" s="1" t="s">
        <v>159</v>
      </c>
      <c r="D97" s="1" t="s">
        <v>160</v>
      </c>
      <c r="E97" s="1" t="s">
        <v>150</v>
      </c>
      <c r="F97" s="1" t="s">
        <v>105</v>
      </c>
      <c r="G97" s="1" t="s">
        <v>259</v>
      </c>
      <c r="H97" s="1" t="s">
        <v>85</v>
      </c>
      <c r="I97" s="31">
        <v>1</v>
      </c>
      <c r="J97" s="32">
        <v>199.99</v>
      </c>
      <c r="K97" s="32">
        <v>199.99</v>
      </c>
      <c r="L97" s="32">
        <v>158.99</v>
      </c>
      <c r="M97" s="32">
        <v>41</v>
      </c>
      <c r="N97" s="1" t="s">
        <v>117</v>
      </c>
      <c r="O97" s="1" t="s">
        <v>78</v>
      </c>
    </row>
    <row r="98" spans="1:15" ht="18.95" customHeight="1" x14ac:dyDescent="0.25">
      <c r="A98" s="1" t="s">
        <v>318</v>
      </c>
      <c r="B98" s="30">
        <v>45377.5</v>
      </c>
      <c r="C98" s="1" t="s">
        <v>159</v>
      </c>
      <c r="D98" s="1" t="s">
        <v>160</v>
      </c>
      <c r="E98" s="1" t="s">
        <v>150</v>
      </c>
      <c r="F98" s="1" t="s">
        <v>105</v>
      </c>
      <c r="G98" s="1" t="s">
        <v>293</v>
      </c>
      <c r="H98" s="1" t="s">
        <v>99</v>
      </c>
      <c r="I98" s="31">
        <v>1</v>
      </c>
      <c r="J98" s="32">
        <v>109.99</v>
      </c>
      <c r="K98" s="32">
        <v>109.99</v>
      </c>
      <c r="L98" s="32">
        <v>80.84</v>
      </c>
      <c r="M98" s="32">
        <v>29.15</v>
      </c>
      <c r="N98" s="1" t="s">
        <v>117</v>
      </c>
      <c r="O98" s="1" t="s">
        <v>78</v>
      </c>
    </row>
    <row r="99" spans="1:15" ht="18.95" customHeight="1" x14ac:dyDescent="0.25">
      <c r="A99" s="1" t="s">
        <v>318</v>
      </c>
      <c r="B99" s="30">
        <v>45377.5</v>
      </c>
      <c r="C99" s="1" t="s">
        <v>159</v>
      </c>
      <c r="D99" s="1" t="s">
        <v>160</v>
      </c>
      <c r="E99" s="1" t="s">
        <v>150</v>
      </c>
      <c r="F99" s="1" t="s">
        <v>105</v>
      </c>
      <c r="G99" s="1" t="s">
        <v>319</v>
      </c>
      <c r="H99" s="1" t="s">
        <v>128</v>
      </c>
      <c r="I99" s="31">
        <v>2</v>
      </c>
      <c r="J99" s="32">
        <v>49.49</v>
      </c>
      <c r="K99" s="32">
        <v>98.98</v>
      </c>
      <c r="L99" s="32">
        <v>71.430000000000007</v>
      </c>
      <c r="M99" s="32">
        <v>27.55</v>
      </c>
      <c r="N99" s="1" t="s">
        <v>117</v>
      </c>
      <c r="O99" s="1" t="s">
        <v>78</v>
      </c>
    </row>
    <row r="100" spans="1:15" ht="18.95" customHeight="1" x14ac:dyDescent="0.25">
      <c r="A100" s="1" t="s">
        <v>320</v>
      </c>
      <c r="B100" s="30">
        <v>45379.5</v>
      </c>
      <c r="C100" s="1" t="s">
        <v>224</v>
      </c>
      <c r="D100" s="1" t="s">
        <v>225</v>
      </c>
      <c r="E100" s="1" t="s">
        <v>74</v>
      </c>
      <c r="F100" s="1" t="s">
        <v>74</v>
      </c>
      <c r="G100" s="1" t="s">
        <v>151</v>
      </c>
      <c r="H100" s="1" t="s">
        <v>76</v>
      </c>
      <c r="I100" s="31">
        <v>1</v>
      </c>
      <c r="J100" s="32">
        <v>18.04</v>
      </c>
      <c r="K100" s="32">
        <v>18.04</v>
      </c>
      <c r="L100" s="32">
        <v>9.16</v>
      </c>
      <c r="M100" s="32">
        <v>8.8800000000000008</v>
      </c>
      <c r="N100" s="1" t="s">
        <v>86</v>
      </c>
      <c r="O100" s="1" t="s">
        <v>78</v>
      </c>
    </row>
    <row r="101" spans="1:15" ht="18.95" customHeight="1" x14ac:dyDescent="0.25">
      <c r="A101" s="1" t="s">
        <v>320</v>
      </c>
      <c r="B101" s="30">
        <v>45379.5</v>
      </c>
      <c r="C101" s="1" t="s">
        <v>224</v>
      </c>
      <c r="D101" s="1" t="s">
        <v>225</v>
      </c>
      <c r="E101" s="1" t="s">
        <v>74</v>
      </c>
      <c r="F101" s="1" t="s">
        <v>74</v>
      </c>
      <c r="G101" s="1" t="s">
        <v>132</v>
      </c>
      <c r="H101" s="1" t="s">
        <v>99</v>
      </c>
      <c r="I101" s="31">
        <v>1</v>
      </c>
      <c r="J101" s="32">
        <v>89.99</v>
      </c>
      <c r="K101" s="32">
        <v>89.99</v>
      </c>
      <c r="L101" s="32">
        <v>64.34</v>
      </c>
      <c r="M101" s="32">
        <v>25.65</v>
      </c>
      <c r="N101" s="1" t="s">
        <v>86</v>
      </c>
      <c r="O101" s="1" t="s">
        <v>78</v>
      </c>
    </row>
    <row r="102" spans="1:15" ht="18.95" customHeight="1" x14ac:dyDescent="0.25">
      <c r="A102" s="1" t="s">
        <v>321</v>
      </c>
      <c r="B102" s="30">
        <v>45380.5</v>
      </c>
      <c r="C102" s="1" t="s">
        <v>177</v>
      </c>
      <c r="D102" s="1" t="s">
        <v>178</v>
      </c>
      <c r="E102" s="1" t="s">
        <v>97</v>
      </c>
      <c r="F102" s="1" t="s">
        <v>91</v>
      </c>
      <c r="G102" s="1" t="s">
        <v>84</v>
      </c>
      <c r="H102" s="1" t="s">
        <v>85</v>
      </c>
      <c r="I102" s="31">
        <v>2</v>
      </c>
      <c r="J102" s="32">
        <v>8.5399999999999991</v>
      </c>
      <c r="K102" s="32">
        <v>17.079999999999998</v>
      </c>
      <c r="L102" s="32">
        <v>8.1199999999999992</v>
      </c>
      <c r="M102" s="32">
        <v>8.9600000000000009</v>
      </c>
      <c r="N102" s="1" t="s">
        <v>117</v>
      </c>
      <c r="O102" s="1" t="s">
        <v>233</v>
      </c>
    </row>
    <row r="103" spans="1:15" ht="18.95" customHeight="1" x14ac:dyDescent="0.25">
      <c r="A103" s="1" t="s">
        <v>321</v>
      </c>
      <c r="B103" s="30">
        <v>45380.5</v>
      </c>
      <c r="C103" s="1" t="s">
        <v>177</v>
      </c>
      <c r="D103" s="1" t="s">
        <v>178</v>
      </c>
      <c r="E103" s="1" t="s">
        <v>97</v>
      </c>
      <c r="F103" s="1" t="s">
        <v>91</v>
      </c>
      <c r="G103" s="1" t="s">
        <v>322</v>
      </c>
      <c r="H103" s="1" t="s">
        <v>128</v>
      </c>
      <c r="I103" s="31">
        <v>1</v>
      </c>
      <c r="J103" s="32">
        <v>59.99</v>
      </c>
      <c r="K103" s="32">
        <v>59.99</v>
      </c>
      <c r="L103" s="32">
        <v>41.69</v>
      </c>
      <c r="M103" s="32">
        <v>18.3</v>
      </c>
      <c r="N103" s="1" t="s">
        <v>117</v>
      </c>
      <c r="O103" s="1" t="s">
        <v>233</v>
      </c>
    </row>
    <row r="104" spans="1:15" ht="18.95" customHeight="1" x14ac:dyDescent="0.25">
      <c r="A104" s="1" t="s">
        <v>323</v>
      </c>
      <c r="B104" s="30">
        <v>45381.5</v>
      </c>
      <c r="C104" s="1" t="s">
        <v>324</v>
      </c>
      <c r="D104" s="1" t="s">
        <v>325</v>
      </c>
      <c r="E104" s="1" t="s">
        <v>183</v>
      </c>
      <c r="F104" s="1" t="s">
        <v>137</v>
      </c>
      <c r="G104" s="1" t="s">
        <v>98</v>
      </c>
      <c r="H104" s="1" t="s">
        <v>99</v>
      </c>
      <c r="I104" s="31">
        <v>3</v>
      </c>
      <c r="J104" s="32">
        <v>25.49</v>
      </c>
      <c r="K104" s="32">
        <v>76.47</v>
      </c>
      <c r="L104" s="32">
        <v>49.06</v>
      </c>
      <c r="M104" s="32">
        <v>27.41</v>
      </c>
      <c r="N104" s="1" t="s">
        <v>117</v>
      </c>
      <c r="O104" s="1" t="s">
        <v>233</v>
      </c>
    </row>
    <row r="105" spans="1:15" ht="18.95" customHeight="1" x14ac:dyDescent="0.25">
      <c r="A105" s="1" t="s">
        <v>323</v>
      </c>
      <c r="B105" s="30">
        <v>45381.5</v>
      </c>
      <c r="C105" s="1" t="s">
        <v>324</v>
      </c>
      <c r="D105" s="1" t="s">
        <v>325</v>
      </c>
      <c r="E105" s="1" t="s">
        <v>183</v>
      </c>
      <c r="F105" s="1" t="s">
        <v>137</v>
      </c>
      <c r="G105" s="1" t="s">
        <v>259</v>
      </c>
      <c r="H105" s="1" t="s">
        <v>85</v>
      </c>
      <c r="I105" s="31">
        <v>1</v>
      </c>
      <c r="J105" s="32">
        <v>199.99</v>
      </c>
      <c r="K105" s="32">
        <v>199.99</v>
      </c>
      <c r="L105" s="32">
        <v>160.99</v>
      </c>
      <c r="M105" s="32">
        <v>39</v>
      </c>
      <c r="N105" s="1" t="s">
        <v>117</v>
      </c>
      <c r="O105" s="1" t="s">
        <v>233</v>
      </c>
    </row>
    <row r="106" spans="1:15" ht="18.95" customHeight="1" x14ac:dyDescent="0.25">
      <c r="A106" s="1" t="s">
        <v>326</v>
      </c>
      <c r="B106" s="30">
        <v>45381.5</v>
      </c>
      <c r="C106" s="1" t="s">
        <v>215</v>
      </c>
      <c r="D106" s="1" t="s">
        <v>216</v>
      </c>
      <c r="E106" s="1" t="s">
        <v>183</v>
      </c>
      <c r="F106" s="1" t="s">
        <v>137</v>
      </c>
      <c r="G106" s="1" t="s">
        <v>75</v>
      </c>
      <c r="H106" s="1" t="s">
        <v>76</v>
      </c>
      <c r="I106" s="31">
        <v>1</v>
      </c>
      <c r="J106" s="32">
        <v>21.59</v>
      </c>
      <c r="K106" s="32">
        <v>21.59</v>
      </c>
      <c r="L106" s="32">
        <v>15.55</v>
      </c>
      <c r="M106" s="32">
        <v>6.04</v>
      </c>
      <c r="N106" s="1" t="s">
        <v>86</v>
      </c>
      <c r="O106" s="1" t="s">
        <v>118</v>
      </c>
    </row>
    <row r="107" spans="1:15" ht="18.95" customHeight="1" x14ac:dyDescent="0.25">
      <c r="A107" s="1" t="s">
        <v>327</v>
      </c>
      <c r="B107" s="30">
        <v>45382.5</v>
      </c>
      <c r="C107" s="1" t="s">
        <v>328</v>
      </c>
      <c r="D107" s="1" t="s">
        <v>329</v>
      </c>
      <c r="E107" s="1" t="s">
        <v>330</v>
      </c>
      <c r="F107" s="1" t="s">
        <v>238</v>
      </c>
      <c r="G107" s="1" t="s">
        <v>202</v>
      </c>
      <c r="H107" s="1" t="s">
        <v>85</v>
      </c>
      <c r="I107" s="31">
        <v>1</v>
      </c>
      <c r="J107" s="32">
        <v>7.99</v>
      </c>
      <c r="K107" s="32">
        <v>7.99</v>
      </c>
      <c r="L107" s="32">
        <v>4.2699999999999996</v>
      </c>
      <c r="M107" s="32">
        <v>3.72</v>
      </c>
      <c r="N107" s="1" t="s">
        <v>77</v>
      </c>
      <c r="O107" s="1" t="s">
        <v>78</v>
      </c>
    </row>
    <row r="108" spans="1:15" ht="18.95" customHeight="1" x14ac:dyDescent="0.25">
      <c r="A108" s="1" t="s">
        <v>327</v>
      </c>
      <c r="B108" s="30">
        <v>45382.5</v>
      </c>
      <c r="C108" s="1" t="s">
        <v>328</v>
      </c>
      <c r="D108" s="1" t="s">
        <v>329</v>
      </c>
      <c r="E108" s="1" t="s">
        <v>330</v>
      </c>
      <c r="F108" s="1" t="s">
        <v>238</v>
      </c>
      <c r="G108" s="1" t="s">
        <v>155</v>
      </c>
      <c r="H108" s="1" t="s">
        <v>93</v>
      </c>
      <c r="I108" s="31">
        <v>1</v>
      </c>
      <c r="J108" s="32">
        <v>27.99</v>
      </c>
      <c r="K108" s="32">
        <v>27.99</v>
      </c>
      <c r="L108" s="32">
        <v>14.13</v>
      </c>
      <c r="M108" s="32">
        <v>13.86</v>
      </c>
      <c r="N108" s="1" t="s">
        <v>77</v>
      </c>
      <c r="O108" s="1" t="s">
        <v>78</v>
      </c>
    </row>
    <row r="109" spans="1:15" ht="18.95" customHeight="1" x14ac:dyDescent="0.25">
      <c r="A109" s="1" t="s">
        <v>327</v>
      </c>
      <c r="B109" s="30">
        <v>45382.5</v>
      </c>
      <c r="C109" s="1" t="s">
        <v>328</v>
      </c>
      <c r="D109" s="1" t="s">
        <v>329</v>
      </c>
      <c r="E109" s="1" t="s">
        <v>330</v>
      </c>
      <c r="F109" s="1" t="s">
        <v>238</v>
      </c>
      <c r="G109" s="1" t="s">
        <v>179</v>
      </c>
      <c r="H109" s="1" t="s">
        <v>128</v>
      </c>
      <c r="I109" s="31">
        <v>1</v>
      </c>
      <c r="J109" s="32">
        <v>31.99</v>
      </c>
      <c r="K109" s="32">
        <v>31.99</v>
      </c>
      <c r="L109" s="32">
        <v>22.55</v>
      </c>
      <c r="M109" s="32">
        <v>9.44</v>
      </c>
      <c r="N109" s="1" t="s">
        <v>77</v>
      </c>
      <c r="O109" s="1" t="s">
        <v>78</v>
      </c>
    </row>
    <row r="110" spans="1:15" ht="18.95" customHeight="1" x14ac:dyDescent="0.25">
      <c r="A110" s="1" t="s">
        <v>331</v>
      </c>
      <c r="B110" s="30">
        <v>45383.5</v>
      </c>
      <c r="C110" s="1" t="s">
        <v>332</v>
      </c>
      <c r="D110" s="1" t="s">
        <v>333</v>
      </c>
      <c r="E110" s="1" t="s">
        <v>136</v>
      </c>
      <c r="F110" s="1" t="s">
        <v>137</v>
      </c>
      <c r="G110" s="1" t="s">
        <v>84</v>
      </c>
      <c r="H110" s="1" t="s">
        <v>85</v>
      </c>
      <c r="I110" s="31">
        <v>1</v>
      </c>
      <c r="J110" s="32">
        <v>8.5399999999999991</v>
      </c>
      <c r="K110" s="32">
        <v>8.5399999999999991</v>
      </c>
      <c r="L110" s="32">
        <v>4.1900000000000004</v>
      </c>
      <c r="M110" s="32">
        <v>4.3499999999999996</v>
      </c>
      <c r="N110" s="1" t="s">
        <v>315</v>
      </c>
      <c r="O110" s="1" t="s">
        <v>112</v>
      </c>
    </row>
    <row r="111" spans="1:15" ht="18.95" customHeight="1" x14ac:dyDescent="0.25">
      <c r="A111" s="1" t="s">
        <v>334</v>
      </c>
      <c r="B111" s="30">
        <v>45383.5</v>
      </c>
      <c r="C111" s="1" t="s">
        <v>335</v>
      </c>
      <c r="D111" s="1" t="s">
        <v>336</v>
      </c>
      <c r="E111" s="1" t="s">
        <v>90</v>
      </c>
      <c r="F111" s="1" t="s">
        <v>91</v>
      </c>
      <c r="G111" s="1" t="s">
        <v>189</v>
      </c>
      <c r="H111" s="1" t="s">
        <v>93</v>
      </c>
      <c r="I111" s="31">
        <v>2</v>
      </c>
      <c r="J111" s="32">
        <v>44.99</v>
      </c>
      <c r="K111" s="32">
        <v>89.98</v>
      </c>
      <c r="L111" s="32">
        <v>53.54</v>
      </c>
      <c r="M111" s="32">
        <v>36.44</v>
      </c>
      <c r="N111" s="1" t="s">
        <v>117</v>
      </c>
      <c r="O111" s="1" t="s">
        <v>78</v>
      </c>
    </row>
    <row r="112" spans="1:15" ht="18.95" customHeight="1" x14ac:dyDescent="0.25">
      <c r="A112" s="1" t="s">
        <v>334</v>
      </c>
      <c r="B112" s="30">
        <v>45383.5</v>
      </c>
      <c r="C112" s="1" t="s">
        <v>335</v>
      </c>
      <c r="D112" s="1" t="s">
        <v>336</v>
      </c>
      <c r="E112" s="1" t="s">
        <v>90</v>
      </c>
      <c r="F112" s="1" t="s">
        <v>91</v>
      </c>
      <c r="G112" s="1" t="s">
        <v>132</v>
      </c>
      <c r="H112" s="1" t="s">
        <v>99</v>
      </c>
      <c r="I112" s="31">
        <v>1</v>
      </c>
      <c r="J112" s="32">
        <v>85.49</v>
      </c>
      <c r="K112" s="32">
        <v>85.49</v>
      </c>
      <c r="L112" s="32">
        <v>64.099999999999994</v>
      </c>
      <c r="M112" s="32">
        <v>21.39</v>
      </c>
      <c r="N112" s="1" t="s">
        <v>117</v>
      </c>
      <c r="O112" s="1" t="s">
        <v>78</v>
      </c>
    </row>
    <row r="113" spans="1:15" ht="18.95" customHeight="1" x14ac:dyDescent="0.25">
      <c r="A113" s="1" t="s">
        <v>337</v>
      </c>
      <c r="B113" s="30">
        <v>45384.5</v>
      </c>
      <c r="C113" s="1" t="s">
        <v>338</v>
      </c>
      <c r="D113" s="1" t="s">
        <v>339</v>
      </c>
      <c r="E113" s="1" t="s">
        <v>243</v>
      </c>
      <c r="F113" s="1" t="s">
        <v>165</v>
      </c>
      <c r="G113" s="1" t="s">
        <v>259</v>
      </c>
      <c r="H113" s="1" t="s">
        <v>85</v>
      </c>
      <c r="I113" s="31">
        <v>2</v>
      </c>
      <c r="J113" s="32">
        <v>179.99</v>
      </c>
      <c r="K113" s="32">
        <v>359.98</v>
      </c>
      <c r="L113" s="32">
        <v>315.77999999999997</v>
      </c>
      <c r="M113" s="32">
        <v>44.2</v>
      </c>
      <c r="N113" s="1" t="s">
        <v>111</v>
      </c>
      <c r="O113" s="1" t="s">
        <v>78</v>
      </c>
    </row>
    <row r="114" spans="1:15" ht="18.95" customHeight="1" x14ac:dyDescent="0.25">
      <c r="A114" s="1" t="s">
        <v>340</v>
      </c>
      <c r="B114" s="30">
        <v>45384.5</v>
      </c>
      <c r="C114" s="1" t="s">
        <v>341</v>
      </c>
      <c r="D114" s="1" t="s">
        <v>342</v>
      </c>
      <c r="E114" s="1" t="s">
        <v>212</v>
      </c>
      <c r="F114" s="1" t="s">
        <v>83</v>
      </c>
      <c r="G114" s="1" t="s">
        <v>98</v>
      </c>
      <c r="H114" s="1" t="s">
        <v>99</v>
      </c>
      <c r="I114" s="31">
        <v>1</v>
      </c>
      <c r="J114" s="32">
        <v>29.99</v>
      </c>
      <c r="K114" s="32">
        <v>29.99</v>
      </c>
      <c r="L114" s="32">
        <v>17.09</v>
      </c>
      <c r="M114" s="32">
        <v>12.9</v>
      </c>
      <c r="N114" s="1" t="s">
        <v>100</v>
      </c>
      <c r="O114" s="1" t="s">
        <v>112</v>
      </c>
    </row>
    <row r="115" spans="1:15" ht="18.95" customHeight="1" x14ac:dyDescent="0.25">
      <c r="A115" s="1" t="s">
        <v>340</v>
      </c>
      <c r="B115" s="30">
        <v>45384.5</v>
      </c>
      <c r="C115" s="1" t="s">
        <v>341</v>
      </c>
      <c r="D115" s="1" t="s">
        <v>342</v>
      </c>
      <c r="E115" s="1" t="s">
        <v>212</v>
      </c>
      <c r="F115" s="1" t="s">
        <v>83</v>
      </c>
      <c r="G115" s="1" t="s">
        <v>138</v>
      </c>
      <c r="H115" s="1" t="s">
        <v>99</v>
      </c>
      <c r="I115" s="31">
        <v>1</v>
      </c>
      <c r="J115" s="32">
        <v>29.74</v>
      </c>
      <c r="K115" s="32">
        <v>29.74</v>
      </c>
      <c r="L115" s="32">
        <v>22.32</v>
      </c>
      <c r="M115" s="32">
        <v>7.42</v>
      </c>
      <c r="N115" s="1" t="s">
        <v>100</v>
      </c>
      <c r="O115" s="1" t="s">
        <v>112</v>
      </c>
    </row>
    <row r="116" spans="1:15" ht="18.95" customHeight="1" x14ac:dyDescent="0.25">
      <c r="A116" s="1" t="s">
        <v>343</v>
      </c>
      <c r="B116" s="30">
        <v>45386.5</v>
      </c>
      <c r="C116" s="1" t="s">
        <v>344</v>
      </c>
      <c r="D116" s="1" t="s">
        <v>345</v>
      </c>
      <c r="E116" s="1" t="s">
        <v>74</v>
      </c>
      <c r="F116" s="1" t="s">
        <v>74</v>
      </c>
      <c r="G116" s="1" t="s">
        <v>188</v>
      </c>
      <c r="H116" s="1" t="s">
        <v>76</v>
      </c>
      <c r="I116" s="31">
        <v>1</v>
      </c>
      <c r="J116" s="32">
        <v>76.489999999999995</v>
      </c>
      <c r="K116" s="32">
        <v>76.489999999999995</v>
      </c>
      <c r="L116" s="32">
        <v>61.36</v>
      </c>
      <c r="M116" s="32">
        <v>15.13</v>
      </c>
      <c r="N116" s="1" t="s">
        <v>111</v>
      </c>
      <c r="O116" s="1" t="s">
        <v>112</v>
      </c>
    </row>
    <row r="117" spans="1:15" ht="18.95" customHeight="1" x14ac:dyDescent="0.25">
      <c r="A117" s="1" t="s">
        <v>343</v>
      </c>
      <c r="B117" s="30">
        <v>45386.5</v>
      </c>
      <c r="C117" s="1" t="s">
        <v>344</v>
      </c>
      <c r="D117" s="1" t="s">
        <v>345</v>
      </c>
      <c r="E117" s="1" t="s">
        <v>74</v>
      </c>
      <c r="F117" s="1" t="s">
        <v>74</v>
      </c>
      <c r="G117" s="1" t="s">
        <v>179</v>
      </c>
      <c r="H117" s="1" t="s">
        <v>128</v>
      </c>
      <c r="I117" s="31">
        <v>1</v>
      </c>
      <c r="J117" s="32">
        <v>35.99</v>
      </c>
      <c r="K117" s="32">
        <v>35.99</v>
      </c>
      <c r="L117" s="32">
        <v>23.67</v>
      </c>
      <c r="M117" s="32">
        <v>12.32</v>
      </c>
      <c r="N117" s="1" t="s">
        <v>111</v>
      </c>
      <c r="O117" s="1" t="s">
        <v>112</v>
      </c>
    </row>
    <row r="118" spans="1:15" ht="18.95" customHeight="1" x14ac:dyDescent="0.25">
      <c r="A118" s="1" t="s">
        <v>343</v>
      </c>
      <c r="B118" s="30">
        <v>45386.5</v>
      </c>
      <c r="C118" s="1" t="s">
        <v>344</v>
      </c>
      <c r="D118" s="1" t="s">
        <v>345</v>
      </c>
      <c r="E118" s="1" t="s">
        <v>74</v>
      </c>
      <c r="F118" s="1" t="s">
        <v>74</v>
      </c>
      <c r="G118" s="1" t="s">
        <v>293</v>
      </c>
      <c r="H118" s="1" t="s">
        <v>99</v>
      </c>
      <c r="I118" s="31">
        <v>1</v>
      </c>
      <c r="J118" s="32">
        <v>109.99</v>
      </c>
      <c r="K118" s="32">
        <v>109.99</v>
      </c>
      <c r="L118" s="32">
        <v>83.59</v>
      </c>
      <c r="M118" s="32">
        <v>26.4</v>
      </c>
      <c r="N118" s="1" t="s">
        <v>111</v>
      </c>
      <c r="O118" s="1" t="s">
        <v>112</v>
      </c>
    </row>
    <row r="119" spans="1:15" ht="18.95" customHeight="1" x14ac:dyDescent="0.25">
      <c r="A119" s="1" t="s">
        <v>346</v>
      </c>
      <c r="B119" s="30">
        <v>45387.5</v>
      </c>
      <c r="C119" s="1" t="s">
        <v>347</v>
      </c>
      <c r="D119" s="1" t="s">
        <v>348</v>
      </c>
      <c r="E119" s="1" t="s">
        <v>330</v>
      </c>
      <c r="F119" s="1" t="s">
        <v>238</v>
      </c>
      <c r="G119" s="1" t="s">
        <v>179</v>
      </c>
      <c r="H119" s="1" t="s">
        <v>128</v>
      </c>
      <c r="I119" s="31">
        <v>1</v>
      </c>
      <c r="J119" s="32">
        <v>37.99</v>
      </c>
      <c r="K119" s="32">
        <v>37.99</v>
      </c>
      <c r="L119" s="32">
        <v>25.35</v>
      </c>
      <c r="M119" s="32">
        <v>12.64</v>
      </c>
      <c r="N119" s="1" t="s">
        <v>77</v>
      </c>
      <c r="O119" s="1" t="s">
        <v>118</v>
      </c>
    </row>
    <row r="120" spans="1:15" ht="18.95" customHeight="1" x14ac:dyDescent="0.25">
      <c r="A120" s="1" t="s">
        <v>349</v>
      </c>
      <c r="B120" s="30">
        <v>45389.5</v>
      </c>
      <c r="C120" s="1" t="s">
        <v>350</v>
      </c>
      <c r="D120" s="1" t="s">
        <v>351</v>
      </c>
      <c r="E120" s="1" t="s">
        <v>164</v>
      </c>
      <c r="F120" s="1" t="s">
        <v>165</v>
      </c>
      <c r="G120" s="1" t="s">
        <v>319</v>
      </c>
      <c r="H120" s="1" t="s">
        <v>128</v>
      </c>
      <c r="I120" s="31">
        <v>2</v>
      </c>
      <c r="J120" s="32">
        <v>54.99</v>
      </c>
      <c r="K120" s="32">
        <v>109.98</v>
      </c>
      <c r="L120" s="32">
        <v>72.040000000000006</v>
      </c>
      <c r="M120" s="32">
        <v>37.94</v>
      </c>
      <c r="N120" s="1" t="s">
        <v>86</v>
      </c>
      <c r="O120" s="1" t="s">
        <v>78</v>
      </c>
    </row>
    <row r="121" spans="1:15" ht="18.95" customHeight="1" x14ac:dyDescent="0.25">
      <c r="A121" s="1" t="s">
        <v>352</v>
      </c>
      <c r="B121" s="30">
        <v>45391.5</v>
      </c>
      <c r="C121" s="1" t="s">
        <v>353</v>
      </c>
      <c r="D121" s="1" t="s">
        <v>354</v>
      </c>
      <c r="E121" s="1" t="s">
        <v>136</v>
      </c>
      <c r="F121" s="1" t="s">
        <v>137</v>
      </c>
      <c r="G121" s="1" t="s">
        <v>116</v>
      </c>
      <c r="H121" s="1" t="s">
        <v>76</v>
      </c>
      <c r="I121" s="31">
        <v>1</v>
      </c>
      <c r="J121" s="32">
        <v>14.99</v>
      </c>
      <c r="K121" s="32">
        <v>14.99</v>
      </c>
      <c r="L121" s="32">
        <v>6.82</v>
      </c>
      <c r="M121" s="32">
        <v>8.17</v>
      </c>
      <c r="N121" s="1" t="s">
        <v>86</v>
      </c>
      <c r="O121" s="1" t="s">
        <v>78</v>
      </c>
    </row>
    <row r="122" spans="1:15" ht="18.95" customHeight="1" x14ac:dyDescent="0.25">
      <c r="A122" s="1" t="s">
        <v>355</v>
      </c>
      <c r="B122" s="30">
        <v>45394.5</v>
      </c>
      <c r="C122" s="1" t="s">
        <v>356</v>
      </c>
      <c r="D122" s="1" t="s">
        <v>357</v>
      </c>
      <c r="E122" s="1" t="s">
        <v>237</v>
      </c>
      <c r="F122" s="1" t="s">
        <v>238</v>
      </c>
      <c r="G122" s="1" t="s">
        <v>293</v>
      </c>
      <c r="H122" s="1" t="s">
        <v>99</v>
      </c>
      <c r="I122" s="31">
        <v>2</v>
      </c>
      <c r="J122" s="32">
        <v>98.99</v>
      </c>
      <c r="K122" s="32">
        <v>197.98</v>
      </c>
      <c r="L122" s="32">
        <v>173.34</v>
      </c>
      <c r="M122" s="32">
        <v>24.64</v>
      </c>
      <c r="N122" s="1" t="s">
        <v>86</v>
      </c>
      <c r="O122" s="1" t="s">
        <v>118</v>
      </c>
    </row>
    <row r="123" spans="1:15" ht="18.95" customHeight="1" x14ac:dyDescent="0.25">
      <c r="A123" s="1" t="s">
        <v>358</v>
      </c>
      <c r="B123" s="30">
        <v>45397.5</v>
      </c>
      <c r="C123" s="1" t="s">
        <v>359</v>
      </c>
      <c r="D123" s="1" t="s">
        <v>360</v>
      </c>
      <c r="E123" s="1" t="s">
        <v>212</v>
      </c>
      <c r="F123" s="1" t="s">
        <v>83</v>
      </c>
      <c r="G123" s="1" t="s">
        <v>230</v>
      </c>
      <c r="H123" s="1" t="s">
        <v>128</v>
      </c>
      <c r="I123" s="31">
        <v>1</v>
      </c>
      <c r="J123" s="32">
        <v>44.99</v>
      </c>
      <c r="K123" s="32">
        <v>44.99</v>
      </c>
      <c r="L123" s="32">
        <v>28.57</v>
      </c>
      <c r="M123" s="32">
        <v>16.420000000000002</v>
      </c>
      <c r="N123" s="1" t="s">
        <v>86</v>
      </c>
      <c r="O123" s="1" t="s">
        <v>78</v>
      </c>
    </row>
    <row r="124" spans="1:15" ht="18.95" customHeight="1" x14ac:dyDescent="0.25">
      <c r="A124" s="1" t="s">
        <v>358</v>
      </c>
      <c r="B124" s="30">
        <v>45397.5</v>
      </c>
      <c r="C124" s="1" t="s">
        <v>359</v>
      </c>
      <c r="D124" s="1" t="s">
        <v>360</v>
      </c>
      <c r="E124" s="1" t="s">
        <v>212</v>
      </c>
      <c r="F124" s="1" t="s">
        <v>83</v>
      </c>
      <c r="G124" s="1" t="s">
        <v>157</v>
      </c>
      <c r="H124" s="1" t="s">
        <v>93</v>
      </c>
      <c r="I124" s="31">
        <v>1</v>
      </c>
      <c r="J124" s="32">
        <v>19.989999999999998</v>
      </c>
      <c r="K124" s="32">
        <v>19.989999999999998</v>
      </c>
      <c r="L124" s="32">
        <v>9.9</v>
      </c>
      <c r="M124" s="32">
        <v>10.09</v>
      </c>
      <c r="N124" s="1" t="s">
        <v>86</v>
      </c>
      <c r="O124" s="1" t="s">
        <v>78</v>
      </c>
    </row>
    <row r="125" spans="1:15" ht="18.95" customHeight="1" x14ac:dyDescent="0.25">
      <c r="A125" s="1" t="s">
        <v>361</v>
      </c>
      <c r="B125" s="30">
        <v>45399.5</v>
      </c>
      <c r="C125" s="1" t="s">
        <v>362</v>
      </c>
      <c r="D125" s="1" t="s">
        <v>363</v>
      </c>
      <c r="E125" s="1" t="s">
        <v>150</v>
      </c>
      <c r="F125" s="1" t="s">
        <v>105</v>
      </c>
      <c r="G125" s="1" t="s">
        <v>202</v>
      </c>
      <c r="H125" s="1" t="s">
        <v>85</v>
      </c>
      <c r="I125" s="31">
        <v>1</v>
      </c>
      <c r="J125" s="32">
        <v>7.99</v>
      </c>
      <c r="K125" s="32">
        <v>7.99</v>
      </c>
      <c r="L125" s="32">
        <v>4.47</v>
      </c>
      <c r="M125" s="32">
        <v>3.52</v>
      </c>
      <c r="N125" s="1" t="s">
        <v>111</v>
      </c>
      <c r="O125" s="1" t="s">
        <v>112</v>
      </c>
    </row>
    <row r="126" spans="1:15" ht="18.95" customHeight="1" x14ac:dyDescent="0.25">
      <c r="A126" s="1" t="s">
        <v>361</v>
      </c>
      <c r="B126" s="30">
        <v>45399.5</v>
      </c>
      <c r="C126" s="1" t="s">
        <v>362</v>
      </c>
      <c r="D126" s="1" t="s">
        <v>363</v>
      </c>
      <c r="E126" s="1" t="s">
        <v>150</v>
      </c>
      <c r="F126" s="1" t="s">
        <v>105</v>
      </c>
      <c r="G126" s="1" t="s">
        <v>75</v>
      </c>
      <c r="H126" s="1" t="s">
        <v>76</v>
      </c>
      <c r="I126" s="31">
        <v>2</v>
      </c>
      <c r="J126" s="32">
        <v>24.29</v>
      </c>
      <c r="K126" s="32">
        <v>48.58</v>
      </c>
      <c r="L126" s="32">
        <v>29.8</v>
      </c>
      <c r="M126" s="32">
        <v>18.78</v>
      </c>
      <c r="N126" s="1" t="s">
        <v>111</v>
      </c>
      <c r="O126" s="1" t="s">
        <v>112</v>
      </c>
    </row>
    <row r="127" spans="1:15" ht="18.95" customHeight="1" x14ac:dyDescent="0.25">
      <c r="A127" s="1" t="s">
        <v>364</v>
      </c>
      <c r="B127" s="30">
        <v>45399.5</v>
      </c>
      <c r="C127" s="1" t="s">
        <v>365</v>
      </c>
      <c r="D127" s="1" t="s">
        <v>366</v>
      </c>
      <c r="E127" s="1" t="s">
        <v>330</v>
      </c>
      <c r="F127" s="1" t="s">
        <v>238</v>
      </c>
      <c r="G127" s="1" t="s">
        <v>306</v>
      </c>
      <c r="H127" s="1" t="s">
        <v>76</v>
      </c>
      <c r="I127" s="31">
        <v>2</v>
      </c>
      <c r="J127" s="32">
        <v>22.49</v>
      </c>
      <c r="K127" s="32">
        <v>44.98</v>
      </c>
      <c r="L127" s="32">
        <v>25.46</v>
      </c>
      <c r="M127" s="32">
        <v>19.52</v>
      </c>
      <c r="N127" s="1" t="s">
        <v>86</v>
      </c>
      <c r="O127" s="1" t="s">
        <v>78</v>
      </c>
    </row>
    <row r="128" spans="1:15" ht="18.95" customHeight="1" x14ac:dyDescent="0.25">
      <c r="A128" s="1" t="s">
        <v>364</v>
      </c>
      <c r="B128" s="30">
        <v>45399.5</v>
      </c>
      <c r="C128" s="1" t="s">
        <v>365</v>
      </c>
      <c r="D128" s="1" t="s">
        <v>366</v>
      </c>
      <c r="E128" s="1" t="s">
        <v>330</v>
      </c>
      <c r="F128" s="1" t="s">
        <v>238</v>
      </c>
      <c r="G128" s="1" t="s">
        <v>98</v>
      </c>
      <c r="H128" s="1" t="s">
        <v>99</v>
      </c>
      <c r="I128" s="31">
        <v>1</v>
      </c>
      <c r="J128" s="32">
        <v>25.49</v>
      </c>
      <c r="K128" s="32">
        <v>25.49</v>
      </c>
      <c r="L128" s="32">
        <v>16.100000000000001</v>
      </c>
      <c r="M128" s="32">
        <v>9.39</v>
      </c>
      <c r="N128" s="1" t="s">
        <v>86</v>
      </c>
      <c r="O128" s="1" t="s">
        <v>78</v>
      </c>
    </row>
    <row r="129" spans="1:15" ht="18.95" customHeight="1" x14ac:dyDescent="0.25">
      <c r="A129" s="1" t="s">
        <v>367</v>
      </c>
      <c r="B129" s="30">
        <v>45401.5</v>
      </c>
      <c r="C129" s="1" t="s">
        <v>153</v>
      </c>
      <c r="D129" s="1" t="s">
        <v>154</v>
      </c>
      <c r="E129" s="1" t="s">
        <v>97</v>
      </c>
      <c r="F129" s="1" t="s">
        <v>91</v>
      </c>
      <c r="G129" s="1" t="s">
        <v>230</v>
      </c>
      <c r="H129" s="1" t="s">
        <v>128</v>
      </c>
      <c r="I129" s="31">
        <v>1</v>
      </c>
      <c r="J129" s="32">
        <v>42.74</v>
      </c>
      <c r="K129" s="32">
        <v>42.74</v>
      </c>
      <c r="L129" s="32">
        <v>29.51</v>
      </c>
      <c r="M129" s="32">
        <v>13.23</v>
      </c>
      <c r="N129" s="1" t="s">
        <v>86</v>
      </c>
      <c r="O129" s="1" t="s">
        <v>112</v>
      </c>
    </row>
    <row r="130" spans="1:15" ht="18.95" customHeight="1" x14ac:dyDescent="0.25">
      <c r="A130" s="1" t="s">
        <v>368</v>
      </c>
      <c r="B130" s="30">
        <v>45401.5</v>
      </c>
      <c r="C130" s="1" t="s">
        <v>350</v>
      </c>
      <c r="D130" s="1" t="s">
        <v>351</v>
      </c>
      <c r="E130" s="1" t="s">
        <v>164</v>
      </c>
      <c r="F130" s="1" t="s">
        <v>165</v>
      </c>
      <c r="G130" s="1" t="s">
        <v>226</v>
      </c>
      <c r="H130" s="1" t="s">
        <v>85</v>
      </c>
      <c r="I130" s="31">
        <v>1</v>
      </c>
      <c r="J130" s="32">
        <v>71.239999999999995</v>
      </c>
      <c r="K130" s="32">
        <v>71.239999999999995</v>
      </c>
      <c r="L130" s="32">
        <v>55.04</v>
      </c>
      <c r="M130" s="32">
        <v>16.2</v>
      </c>
      <c r="N130" s="1" t="s">
        <v>86</v>
      </c>
      <c r="O130" s="1" t="s">
        <v>118</v>
      </c>
    </row>
    <row r="131" spans="1:15" ht="18.95" customHeight="1" x14ac:dyDescent="0.25">
      <c r="A131" s="1" t="s">
        <v>369</v>
      </c>
      <c r="B131" s="30">
        <v>45402.5</v>
      </c>
      <c r="C131" s="1" t="s">
        <v>370</v>
      </c>
      <c r="D131" s="1" t="s">
        <v>371</v>
      </c>
      <c r="E131" s="1" t="s">
        <v>243</v>
      </c>
      <c r="F131" s="1" t="s">
        <v>165</v>
      </c>
      <c r="G131" s="1" t="s">
        <v>188</v>
      </c>
      <c r="H131" s="1" t="s">
        <v>76</v>
      </c>
      <c r="I131" s="31">
        <v>1</v>
      </c>
      <c r="J131" s="32">
        <v>84.99</v>
      </c>
      <c r="K131" s="32">
        <v>84.99</v>
      </c>
      <c r="L131" s="32">
        <v>59.92</v>
      </c>
      <c r="M131" s="32">
        <v>25.07</v>
      </c>
      <c r="N131" s="1" t="s">
        <v>77</v>
      </c>
      <c r="O131" s="1" t="s">
        <v>78</v>
      </c>
    </row>
    <row r="132" spans="1:15" ht="18.95" customHeight="1" x14ac:dyDescent="0.25">
      <c r="A132" s="1" t="s">
        <v>369</v>
      </c>
      <c r="B132" s="30">
        <v>45402.5</v>
      </c>
      <c r="C132" s="1" t="s">
        <v>370</v>
      </c>
      <c r="D132" s="1" t="s">
        <v>371</v>
      </c>
      <c r="E132" s="1" t="s">
        <v>243</v>
      </c>
      <c r="F132" s="1" t="s">
        <v>165</v>
      </c>
      <c r="G132" s="1" t="s">
        <v>110</v>
      </c>
      <c r="H132" s="1" t="s">
        <v>85</v>
      </c>
      <c r="I132" s="31">
        <v>3</v>
      </c>
      <c r="J132" s="32">
        <v>12.34</v>
      </c>
      <c r="K132" s="32">
        <v>37.020000000000003</v>
      </c>
      <c r="L132" s="32">
        <v>18.399999999999999</v>
      </c>
      <c r="M132" s="32">
        <v>18.62</v>
      </c>
      <c r="N132" s="1" t="s">
        <v>77</v>
      </c>
      <c r="O132" s="1" t="s">
        <v>78</v>
      </c>
    </row>
    <row r="133" spans="1:15" ht="18.95" customHeight="1" x14ac:dyDescent="0.25">
      <c r="A133" s="1" t="s">
        <v>372</v>
      </c>
      <c r="B133" s="30">
        <v>45405.5</v>
      </c>
      <c r="C133" s="1" t="s">
        <v>373</v>
      </c>
      <c r="D133" s="1" t="s">
        <v>374</v>
      </c>
      <c r="E133" s="1" t="s">
        <v>90</v>
      </c>
      <c r="F133" s="1" t="s">
        <v>91</v>
      </c>
      <c r="G133" s="1" t="s">
        <v>184</v>
      </c>
      <c r="H133" s="1" t="s">
        <v>99</v>
      </c>
      <c r="I133" s="31">
        <v>1</v>
      </c>
      <c r="J133" s="32">
        <v>161.49</v>
      </c>
      <c r="K133" s="32">
        <v>161.49</v>
      </c>
      <c r="L133" s="32">
        <v>140.41</v>
      </c>
      <c r="M133" s="32">
        <v>21.08</v>
      </c>
      <c r="N133" s="1" t="s">
        <v>86</v>
      </c>
      <c r="O133" s="1" t="s">
        <v>112</v>
      </c>
    </row>
    <row r="134" spans="1:15" ht="18.95" customHeight="1" x14ac:dyDescent="0.25">
      <c r="A134" s="1" t="s">
        <v>375</v>
      </c>
      <c r="B134" s="30">
        <v>45407.5</v>
      </c>
      <c r="C134" s="1" t="s">
        <v>376</v>
      </c>
      <c r="D134" s="1" t="s">
        <v>377</v>
      </c>
      <c r="E134" s="1" t="s">
        <v>212</v>
      </c>
      <c r="F134" s="1" t="s">
        <v>83</v>
      </c>
      <c r="G134" s="1" t="s">
        <v>75</v>
      </c>
      <c r="H134" s="1" t="s">
        <v>76</v>
      </c>
      <c r="I134" s="31">
        <v>1</v>
      </c>
      <c r="J134" s="32">
        <v>26.99</v>
      </c>
      <c r="K134" s="32">
        <v>26.99</v>
      </c>
      <c r="L134" s="32">
        <v>15.11</v>
      </c>
      <c r="M134" s="32">
        <v>11.88</v>
      </c>
      <c r="N134" s="1" t="s">
        <v>111</v>
      </c>
      <c r="O134" s="1" t="s">
        <v>112</v>
      </c>
    </row>
    <row r="135" spans="1:15" ht="18.95" customHeight="1" x14ac:dyDescent="0.25">
      <c r="A135" s="1" t="s">
        <v>378</v>
      </c>
      <c r="B135" s="30">
        <v>45409.5</v>
      </c>
      <c r="C135" s="1" t="s">
        <v>304</v>
      </c>
      <c r="D135" s="1" t="s">
        <v>305</v>
      </c>
      <c r="E135" s="1" t="s">
        <v>74</v>
      </c>
      <c r="F135" s="1" t="s">
        <v>74</v>
      </c>
      <c r="G135" s="1" t="s">
        <v>306</v>
      </c>
      <c r="H135" s="1" t="s">
        <v>76</v>
      </c>
      <c r="I135" s="31">
        <v>1</v>
      </c>
      <c r="J135" s="32">
        <v>24.99</v>
      </c>
      <c r="K135" s="32">
        <v>24.99</v>
      </c>
      <c r="L135" s="32">
        <v>12.87</v>
      </c>
      <c r="M135" s="32">
        <v>12.12</v>
      </c>
      <c r="N135" s="1" t="s">
        <v>117</v>
      </c>
      <c r="O135" s="1" t="s">
        <v>78</v>
      </c>
    </row>
    <row r="136" spans="1:15" ht="18.95" customHeight="1" x14ac:dyDescent="0.25">
      <c r="A136" s="1" t="s">
        <v>379</v>
      </c>
      <c r="B136" s="30">
        <v>45410.5</v>
      </c>
      <c r="C136" s="1" t="s">
        <v>380</v>
      </c>
      <c r="D136" s="1" t="s">
        <v>381</v>
      </c>
      <c r="E136" s="1" t="s">
        <v>183</v>
      </c>
      <c r="F136" s="1" t="s">
        <v>137</v>
      </c>
      <c r="G136" s="1" t="s">
        <v>230</v>
      </c>
      <c r="H136" s="1" t="s">
        <v>128</v>
      </c>
      <c r="I136" s="31">
        <v>2</v>
      </c>
      <c r="J136" s="32">
        <v>44.99</v>
      </c>
      <c r="K136" s="32">
        <v>89.98</v>
      </c>
      <c r="L136" s="32">
        <v>59.39</v>
      </c>
      <c r="M136" s="32">
        <v>30.59</v>
      </c>
      <c r="N136" s="1" t="s">
        <v>117</v>
      </c>
      <c r="O136" s="1" t="s">
        <v>112</v>
      </c>
    </row>
    <row r="137" spans="1:15" ht="18.95" customHeight="1" x14ac:dyDescent="0.25">
      <c r="A137" s="1" t="s">
        <v>382</v>
      </c>
      <c r="B137" s="30">
        <v>45410.5</v>
      </c>
      <c r="C137" s="1" t="s">
        <v>134</v>
      </c>
      <c r="D137" s="1" t="s">
        <v>135</v>
      </c>
      <c r="E137" s="1" t="s">
        <v>136</v>
      </c>
      <c r="F137" s="1" t="s">
        <v>137</v>
      </c>
      <c r="G137" s="1" t="s">
        <v>92</v>
      </c>
      <c r="H137" s="1" t="s">
        <v>93</v>
      </c>
      <c r="I137" s="31">
        <v>1</v>
      </c>
      <c r="J137" s="32">
        <v>55.99</v>
      </c>
      <c r="K137" s="32">
        <v>55.99</v>
      </c>
      <c r="L137" s="32">
        <v>49.41</v>
      </c>
      <c r="M137" s="32">
        <v>6.58</v>
      </c>
      <c r="N137" s="1" t="s">
        <v>117</v>
      </c>
      <c r="O137" s="1" t="s">
        <v>118</v>
      </c>
    </row>
    <row r="138" spans="1:15" ht="18.95" customHeight="1" x14ac:dyDescent="0.25">
      <c r="A138" s="1" t="s">
        <v>383</v>
      </c>
      <c r="B138" s="30">
        <v>45412.5</v>
      </c>
      <c r="C138" s="1" t="s">
        <v>296</v>
      </c>
      <c r="D138" s="1" t="s">
        <v>297</v>
      </c>
      <c r="E138" s="1" t="s">
        <v>174</v>
      </c>
      <c r="F138" s="1" t="s">
        <v>175</v>
      </c>
      <c r="G138" s="1" t="s">
        <v>293</v>
      </c>
      <c r="H138" s="1" t="s">
        <v>99</v>
      </c>
      <c r="I138" s="31">
        <v>2</v>
      </c>
      <c r="J138" s="32">
        <v>109.99</v>
      </c>
      <c r="K138" s="32">
        <v>219.98</v>
      </c>
      <c r="L138" s="32">
        <v>167.18</v>
      </c>
      <c r="M138" s="32">
        <v>52.8</v>
      </c>
      <c r="N138" s="1" t="s">
        <v>100</v>
      </c>
      <c r="O138" s="1" t="s">
        <v>112</v>
      </c>
    </row>
    <row r="139" spans="1:15" ht="18.95" customHeight="1" x14ac:dyDescent="0.25">
      <c r="A139" s="1" t="s">
        <v>384</v>
      </c>
      <c r="B139" s="30">
        <v>45413.5</v>
      </c>
      <c r="C139" s="1" t="s">
        <v>385</v>
      </c>
      <c r="D139" s="1" t="s">
        <v>386</v>
      </c>
      <c r="E139" s="1" t="s">
        <v>150</v>
      </c>
      <c r="F139" s="1" t="s">
        <v>105</v>
      </c>
      <c r="G139" s="1" t="s">
        <v>322</v>
      </c>
      <c r="H139" s="1" t="s">
        <v>128</v>
      </c>
      <c r="I139" s="31">
        <v>2</v>
      </c>
      <c r="J139" s="32">
        <v>59.99</v>
      </c>
      <c r="K139" s="32">
        <v>119.98</v>
      </c>
      <c r="L139" s="32">
        <v>82.19</v>
      </c>
      <c r="M139" s="32">
        <v>37.79</v>
      </c>
      <c r="N139" s="1" t="s">
        <v>117</v>
      </c>
      <c r="O139" s="1" t="s">
        <v>78</v>
      </c>
    </row>
    <row r="140" spans="1:15" ht="18.95" customHeight="1" x14ac:dyDescent="0.25">
      <c r="A140" s="1" t="s">
        <v>384</v>
      </c>
      <c r="B140" s="30">
        <v>45413.5</v>
      </c>
      <c r="C140" s="1" t="s">
        <v>385</v>
      </c>
      <c r="D140" s="1" t="s">
        <v>386</v>
      </c>
      <c r="E140" s="1" t="s">
        <v>150</v>
      </c>
      <c r="F140" s="1" t="s">
        <v>105</v>
      </c>
      <c r="G140" s="1" t="s">
        <v>127</v>
      </c>
      <c r="H140" s="1" t="s">
        <v>128</v>
      </c>
      <c r="I140" s="31">
        <v>1</v>
      </c>
      <c r="J140" s="32">
        <v>22.49</v>
      </c>
      <c r="K140" s="32">
        <v>22.49</v>
      </c>
      <c r="L140" s="32">
        <v>14.98</v>
      </c>
      <c r="M140" s="32">
        <v>7.51</v>
      </c>
      <c r="N140" s="1" t="s">
        <v>117</v>
      </c>
      <c r="O140" s="1" t="s">
        <v>78</v>
      </c>
    </row>
    <row r="141" spans="1:15" ht="18.95" customHeight="1" x14ac:dyDescent="0.25">
      <c r="A141" s="1" t="s">
        <v>387</v>
      </c>
      <c r="B141" s="30">
        <v>45413.5</v>
      </c>
      <c r="C141" s="1" t="s">
        <v>210</v>
      </c>
      <c r="D141" s="1" t="s">
        <v>211</v>
      </c>
      <c r="E141" s="1" t="s">
        <v>212</v>
      </c>
      <c r="F141" s="1" t="s">
        <v>83</v>
      </c>
      <c r="G141" s="1" t="s">
        <v>189</v>
      </c>
      <c r="H141" s="1" t="s">
        <v>93</v>
      </c>
      <c r="I141" s="31">
        <v>1</v>
      </c>
      <c r="J141" s="32">
        <v>42.74</v>
      </c>
      <c r="K141" s="32">
        <v>42.74</v>
      </c>
      <c r="L141" s="32">
        <v>26.65</v>
      </c>
      <c r="M141" s="32">
        <v>16.09</v>
      </c>
      <c r="N141" s="1" t="s">
        <v>117</v>
      </c>
      <c r="O141" s="1" t="s">
        <v>78</v>
      </c>
    </row>
    <row r="142" spans="1:15" ht="18.95" customHeight="1" x14ac:dyDescent="0.25">
      <c r="A142" s="1" t="s">
        <v>388</v>
      </c>
      <c r="B142" s="30">
        <v>45413.5</v>
      </c>
      <c r="C142" s="1" t="s">
        <v>389</v>
      </c>
      <c r="D142" s="1" t="s">
        <v>390</v>
      </c>
      <c r="E142" s="1" t="s">
        <v>391</v>
      </c>
      <c r="F142" s="1" t="s">
        <v>170</v>
      </c>
      <c r="G142" s="1" t="s">
        <v>322</v>
      </c>
      <c r="H142" s="1" t="s">
        <v>128</v>
      </c>
      <c r="I142" s="31">
        <v>1</v>
      </c>
      <c r="J142" s="32">
        <v>56.99</v>
      </c>
      <c r="K142" s="32">
        <v>56.99</v>
      </c>
      <c r="L142" s="32">
        <v>42.35</v>
      </c>
      <c r="M142" s="32">
        <v>14.64</v>
      </c>
      <c r="N142" s="1" t="s">
        <v>117</v>
      </c>
      <c r="O142" s="1" t="s">
        <v>112</v>
      </c>
    </row>
    <row r="143" spans="1:15" ht="18.95" customHeight="1" x14ac:dyDescent="0.25">
      <c r="A143" s="1" t="s">
        <v>392</v>
      </c>
      <c r="B143" s="30">
        <v>45414.5</v>
      </c>
      <c r="C143" s="1" t="s">
        <v>267</v>
      </c>
      <c r="D143" s="1" t="s">
        <v>268</v>
      </c>
      <c r="E143" s="1" t="s">
        <v>212</v>
      </c>
      <c r="F143" s="1" t="s">
        <v>83</v>
      </c>
      <c r="G143" s="1" t="s">
        <v>195</v>
      </c>
      <c r="H143" s="1" t="s">
        <v>128</v>
      </c>
      <c r="I143" s="31">
        <v>1</v>
      </c>
      <c r="J143" s="32">
        <v>132.99</v>
      </c>
      <c r="K143" s="32">
        <v>132.99</v>
      </c>
      <c r="L143" s="32">
        <v>110.03</v>
      </c>
      <c r="M143" s="32">
        <v>22.96</v>
      </c>
      <c r="N143" s="1" t="s">
        <v>86</v>
      </c>
      <c r="O143" s="1" t="s">
        <v>112</v>
      </c>
    </row>
    <row r="144" spans="1:15" ht="18.95" customHeight="1" x14ac:dyDescent="0.25">
      <c r="A144" s="1" t="s">
        <v>393</v>
      </c>
      <c r="B144" s="30">
        <v>45415.5</v>
      </c>
      <c r="C144" s="1" t="s">
        <v>177</v>
      </c>
      <c r="D144" s="1" t="s">
        <v>178</v>
      </c>
      <c r="E144" s="1" t="s">
        <v>97</v>
      </c>
      <c r="F144" s="1" t="s">
        <v>91</v>
      </c>
      <c r="G144" s="1" t="s">
        <v>139</v>
      </c>
      <c r="H144" s="1" t="s">
        <v>128</v>
      </c>
      <c r="I144" s="31">
        <v>1</v>
      </c>
      <c r="J144" s="32">
        <v>66.489999999999995</v>
      </c>
      <c r="K144" s="32">
        <v>66.489999999999995</v>
      </c>
      <c r="L144" s="32">
        <v>46.35</v>
      </c>
      <c r="M144" s="32">
        <v>20.14</v>
      </c>
      <c r="N144" s="1" t="s">
        <v>77</v>
      </c>
      <c r="O144" s="1" t="s">
        <v>78</v>
      </c>
    </row>
    <row r="145" spans="1:15" ht="18.95" customHeight="1" x14ac:dyDescent="0.25">
      <c r="A145" s="1" t="s">
        <v>393</v>
      </c>
      <c r="B145" s="30">
        <v>45415.5</v>
      </c>
      <c r="C145" s="1" t="s">
        <v>177</v>
      </c>
      <c r="D145" s="1" t="s">
        <v>178</v>
      </c>
      <c r="E145" s="1" t="s">
        <v>97</v>
      </c>
      <c r="F145" s="1" t="s">
        <v>91</v>
      </c>
      <c r="G145" s="1" t="s">
        <v>306</v>
      </c>
      <c r="H145" s="1" t="s">
        <v>76</v>
      </c>
      <c r="I145" s="31">
        <v>1</v>
      </c>
      <c r="J145" s="32">
        <v>24.99</v>
      </c>
      <c r="K145" s="32">
        <v>24.99</v>
      </c>
      <c r="L145" s="32">
        <v>12.87</v>
      </c>
      <c r="M145" s="32">
        <v>12.12</v>
      </c>
      <c r="N145" s="1" t="s">
        <v>77</v>
      </c>
      <c r="O145" s="1" t="s">
        <v>78</v>
      </c>
    </row>
    <row r="146" spans="1:15" ht="18.95" customHeight="1" x14ac:dyDescent="0.25">
      <c r="A146" s="1" t="s">
        <v>394</v>
      </c>
      <c r="B146" s="30">
        <v>45417.5</v>
      </c>
      <c r="C146" s="1" t="s">
        <v>344</v>
      </c>
      <c r="D146" s="1" t="s">
        <v>345</v>
      </c>
      <c r="E146" s="1" t="s">
        <v>74</v>
      </c>
      <c r="F146" s="1" t="s">
        <v>74</v>
      </c>
      <c r="G146" s="1" t="s">
        <v>306</v>
      </c>
      <c r="H146" s="1" t="s">
        <v>76</v>
      </c>
      <c r="I146" s="31">
        <v>6</v>
      </c>
      <c r="J146" s="32">
        <v>24.99</v>
      </c>
      <c r="K146" s="32">
        <v>149.94</v>
      </c>
      <c r="L146" s="32">
        <v>77.22</v>
      </c>
      <c r="M146" s="32">
        <v>72.72</v>
      </c>
      <c r="N146" s="1" t="s">
        <v>111</v>
      </c>
      <c r="O146" s="1" t="s">
        <v>78</v>
      </c>
    </row>
    <row r="147" spans="1:15" ht="18.95" customHeight="1" x14ac:dyDescent="0.25">
      <c r="A147" s="1" t="s">
        <v>395</v>
      </c>
      <c r="B147" s="30">
        <v>45419.5</v>
      </c>
      <c r="C147" s="1" t="s">
        <v>204</v>
      </c>
      <c r="D147" s="1" t="s">
        <v>205</v>
      </c>
      <c r="E147" s="1" t="s">
        <v>164</v>
      </c>
      <c r="F147" s="1" t="s">
        <v>165</v>
      </c>
      <c r="G147" s="1" t="s">
        <v>189</v>
      </c>
      <c r="H147" s="1" t="s">
        <v>93</v>
      </c>
      <c r="I147" s="31">
        <v>1</v>
      </c>
      <c r="J147" s="32">
        <v>44.99</v>
      </c>
      <c r="K147" s="32">
        <v>44.99</v>
      </c>
      <c r="L147" s="32">
        <v>26.77</v>
      </c>
      <c r="M147" s="32">
        <v>18.22</v>
      </c>
      <c r="N147" s="1" t="s">
        <v>117</v>
      </c>
      <c r="O147" s="1" t="s">
        <v>78</v>
      </c>
    </row>
    <row r="148" spans="1:15" ht="18.95" customHeight="1" x14ac:dyDescent="0.25">
      <c r="A148" s="1" t="s">
        <v>396</v>
      </c>
      <c r="B148" s="30">
        <v>45419.5</v>
      </c>
      <c r="C148" s="1" t="s">
        <v>397</v>
      </c>
      <c r="D148" s="1" t="s">
        <v>398</v>
      </c>
      <c r="E148" s="1" t="s">
        <v>169</v>
      </c>
      <c r="F148" s="1" t="s">
        <v>170</v>
      </c>
      <c r="G148" s="1" t="s">
        <v>84</v>
      </c>
      <c r="H148" s="1" t="s">
        <v>85</v>
      </c>
      <c r="I148" s="31">
        <v>1</v>
      </c>
      <c r="J148" s="32">
        <v>8.5399999999999991</v>
      </c>
      <c r="K148" s="32">
        <v>8.5399999999999991</v>
      </c>
      <c r="L148" s="32">
        <v>4.53</v>
      </c>
      <c r="M148" s="32">
        <v>4.01</v>
      </c>
      <c r="N148" s="1" t="s">
        <v>117</v>
      </c>
      <c r="O148" s="1" t="s">
        <v>118</v>
      </c>
    </row>
    <row r="149" spans="1:15" ht="18.95" customHeight="1" x14ac:dyDescent="0.25">
      <c r="A149" s="1" t="s">
        <v>399</v>
      </c>
      <c r="B149" s="30">
        <v>45421.5</v>
      </c>
      <c r="C149" s="1" t="s">
        <v>282</v>
      </c>
      <c r="D149" s="1" t="s">
        <v>283</v>
      </c>
      <c r="E149" s="1" t="s">
        <v>164</v>
      </c>
      <c r="F149" s="1" t="s">
        <v>165</v>
      </c>
      <c r="G149" s="1" t="s">
        <v>155</v>
      </c>
      <c r="H149" s="1" t="s">
        <v>93</v>
      </c>
      <c r="I149" s="31">
        <v>2</v>
      </c>
      <c r="J149" s="32">
        <v>27.99</v>
      </c>
      <c r="K149" s="32">
        <v>55.98</v>
      </c>
      <c r="L149" s="32">
        <v>28.27</v>
      </c>
      <c r="M149" s="32">
        <v>27.71</v>
      </c>
      <c r="N149" s="1" t="s">
        <v>117</v>
      </c>
      <c r="O149" s="1" t="s">
        <v>78</v>
      </c>
    </row>
    <row r="150" spans="1:15" ht="18.95" customHeight="1" x14ac:dyDescent="0.25">
      <c r="A150" s="1" t="s">
        <v>400</v>
      </c>
      <c r="B150" s="30">
        <v>45422.5</v>
      </c>
      <c r="C150" s="1" t="s">
        <v>347</v>
      </c>
      <c r="D150" s="1" t="s">
        <v>348</v>
      </c>
      <c r="E150" s="1" t="s">
        <v>330</v>
      </c>
      <c r="F150" s="1" t="s">
        <v>238</v>
      </c>
      <c r="G150" s="1" t="s">
        <v>213</v>
      </c>
      <c r="H150" s="1" t="s">
        <v>93</v>
      </c>
      <c r="I150" s="31">
        <v>2</v>
      </c>
      <c r="J150" s="32">
        <v>32.99</v>
      </c>
      <c r="K150" s="32">
        <v>65.98</v>
      </c>
      <c r="L150" s="32">
        <v>37.28</v>
      </c>
      <c r="M150" s="32">
        <v>28.7</v>
      </c>
      <c r="N150" s="1" t="s">
        <v>77</v>
      </c>
      <c r="O150" s="1" t="s">
        <v>78</v>
      </c>
    </row>
    <row r="151" spans="1:15" ht="18.95" customHeight="1" x14ac:dyDescent="0.25">
      <c r="A151" s="1" t="s">
        <v>401</v>
      </c>
      <c r="B151" s="30">
        <v>45424.5</v>
      </c>
      <c r="C151" s="1" t="s">
        <v>402</v>
      </c>
      <c r="D151" s="1" t="s">
        <v>403</v>
      </c>
      <c r="E151" s="1" t="s">
        <v>104</v>
      </c>
      <c r="F151" s="1" t="s">
        <v>105</v>
      </c>
      <c r="G151" s="1" t="s">
        <v>195</v>
      </c>
      <c r="H151" s="1" t="s">
        <v>128</v>
      </c>
      <c r="I151" s="31">
        <v>1</v>
      </c>
      <c r="J151" s="32">
        <v>132.99</v>
      </c>
      <c r="K151" s="32">
        <v>132.99</v>
      </c>
      <c r="L151" s="32">
        <v>106.71</v>
      </c>
      <c r="M151" s="32">
        <v>26.28</v>
      </c>
      <c r="N151" s="1" t="s">
        <v>117</v>
      </c>
      <c r="O151" s="1" t="s">
        <v>78</v>
      </c>
    </row>
    <row r="152" spans="1:15" ht="18.95" customHeight="1" x14ac:dyDescent="0.25">
      <c r="A152" s="1" t="s">
        <v>401</v>
      </c>
      <c r="B152" s="30">
        <v>45424.5</v>
      </c>
      <c r="C152" s="1" t="s">
        <v>402</v>
      </c>
      <c r="D152" s="1" t="s">
        <v>403</v>
      </c>
      <c r="E152" s="1" t="s">
        <v>104</v>
      </c>
      <c r="F152" s="1" t="s">
        <v>105</v>
      </c>
      <c r="G152" s="1" t="s">
        <v>157</v>
      </c>
      <c r="H152" s="1" t="s">
        <v>93</v>
      </c>
      <c r="I152" s="31">
        <v>1</v>
      </c>
      <c r="J152" s="32">
        <v>16.989999999999998</v>
      </c>
      <c r="K152" s="32">
        <v>16.989999999999998</v>
      </c>
      <c r="L152" s="32">
        <v>9.73</v>
      </c>
      <c r="M152" s="32">
        <v>7.26</v>
      </c>
      <c r="N152" s="1" t="s">
        <v>117</v>
      </c>
      <c r="O152" s="1" t="s">
        <v>78</v>
      </c>
    </row>
    <row r="153" spans="1:15" ht="18.95" customHeight="1" x14ac:dyDescent="0.25">
      <c r="A153" s="1" t="s">
        <v>404</v>
      </c>
      <c r="B153" s="30">
        <v>45426.5</v>
      </c>
      <c r="C153" s="1" t="s">
        <v>186</v>
      </c>
      <c r="D153" s="1" t="s">
        <v>187</v>
      </c>
      <c r="E153" s="1" t="s">
        <v>169</v>
      </c>
      <c r="F153" s="1" t="s">
        <v>170</v>
      </c>
      <c r="G153" s="1" t="s">
        <v>116</v>
      </c>
      <c r="H153" s="1" t="s">
        <v>76</v>
      </c>
      <c r="I153" s="31">
        <v>2</v>
      </c>
      <c r="J153" s="32">
        <v>14.99</v>
      </c>
      <c r="K153" s="32">
        <v>29.98</v>
      </c>
      <c r="L153" s="32">
        <v>14.39</v>
      </c>
      <c r="M153" s="32">
        <v>15.59</v>
      </c>
      <c r="N153" s="1" t="s">
        <v>117</v>
      </c>
      <c r="O153" s="1" t="s">
        <v>112</v>
      </c>
    </row>
    <row r="154" spans="1:15" ht="18.95" customHeight="1" x14ac:dyDescent="0.25">
      <c r="A154" s="1" t="s">
        <v>405</v>
      </c>
      <c r="B154" s="30">
        <v>45426.5</v>
      </c>
      <c r="C154" s="1" t="s">
        <v>95</v>
      </c>
      <c r="D154" s="1" t="s">
        <v>96</v>
      </c>
      <c r="E154" s="1" t="s">
        <v>97</v>
      </c>
      <c r="F154" s="1" t="s">
        <v>91</v>
      </c>
      <c r="G154" s="1" t="s">
        <v>293</v>
      </c>
      <c r="H154" s="1" t="s">
        <v>99</v>
      </c>
      <c r="I154" s="31">
        <v>1</v>
      </c>
      <c r="J154" s="32">
        <v>104.49</v>
      </c>
      <c r="K154" s="32">
        <v>104.49</v>
      </c>
      <c r="L154" s="32">
        <v>83.15</v>
      </c>
      <c r="M154" s="32">
        <v>21.34</v>
      </c>
      <c r="N154" s="1" t="s">
        <v>86</v>
      </c>
      <c r="O154" s="1" t="s">
        <v>112</v>
      </c>
    </row>
    <row r="155" spans="1:15" ht="18.95" customHeight="1" x14ac:dyDescent="0.25">
      <c r="A155" s="1" t="s">
        <v>405</v>
      </c>
      <c r="B155" s="30">
        <v>45426.5</v>
      </c>
      <c r="C155" s="1" t="s">
        <v>95</v>
      </c>
      <c r="D155" s="1" t="s">
        <v>96</v>
      </c>
      <c r="E155" s="1" t="s">
        <v>97</v>
      </c>
      <c r="F155" s="1" t="s">
        <v>91</v>
      </c>
      <c r="G155" s="1" t="s">
        <v>127</v>
      </c>
      <c r="H155" s="1" t="s">
        <v>128</v>
      </c>
      <c r="I155" s="31">
        <v>1</v>
      </c>
      <c r="J155" s="32">
        <v>24.99</v>
      </c>
      <c r="K155" s="32">
        <v>24.99</v>
      </c>
      <c r="L155" s="32">
        <v>15.74</v>
      </c>
      <c r="M155" s="32">
        <v>9.25</v>
      </c>
      <c r="N155" s="1" t="s">
        <v>86</v>
      </c>
      <c r="O155" s="1" t="s">
        <v>112</v>
      </c>
    </row>
    <row r="156" spans="1:15" ht="18.95" customHeight="1" x14ac:dyDescent="0.25">
      <c r="A156" s="1" t="s">
        <v>406</v>
      </c>
      <c r="B156" s="30">
        <v>45426.5</v>
      </c>
      <c r="C156" s="1" t="s">
        <v>407</v>
      </c>
      <c r="D156" s="1" t="s">
        <v>408</v>
      </c>
      <c r="E156" s="1" t="s">
        <v>97</v>
      </c>
      <c r="F156" s="1" t="s">
        <v>91</v>
      </c>
      <c r="G156" s="1" t="s">
        <v>259</v>
      </c>
      <c r="H156" s="1" t="s">
        <v>85</v>
      </c>
      <c r="I156" s="31">
        <v>1</v>
      </c>
      <c r="J156" s="32">
        <v>199.99</v>
      </c>
      <c r="K156" s="32">
        <v>199.99</v>
      </c>
      <c r="L156" s="32">
        <v>158.99</v>
      </c>
      <c r="M156" s="32">
        <v>41</v>
      </c>
      <c r="N156" s="1" t="s">
        <v>77</v>
      </c>
      <c r="O156" s="1" t="s">
        <v>78</v>
      </c>
    </row>
    <row r="157" spans="1:15" ht="18.95" customHeight="1" x14ac:dyDescent="0.25">
      <c r="A157" s="1" t="s">
        <v>409</v>
      </c>
      <c r="B157" s="30">
        <v>45430.5</v>
      </c>
      <c r="C157" s="1" t="s">
        <v>72</v>
      </c>
      <c r="D157" s="1" t="s">
        <v>73</v>
      </c>
      <c r="E157" s="1" t="s">
        <v>74</v>
      </c>
      <c r="F157" s="1" t="s">
        <v>74</v>
      </c>
      <c r="G157" s="1" t="s">
        <v>202</v>
      </c>
      <c r="H157" s="1" t="s">
        <v>85</v>
      </c>
      <c r="I157" s="31">
        <v>1</v>
      </c>
      <c r="J157" s="32">
        <v>7.59</v>
      </c>
      <c r="K157" s="32">
        <v>7.59</v>
      </c>
      <c r="L157" s="32">
        <v>4.4400000000000004</v>
      </c>
      <c r="M157" s="32">
        <v>3.15</v>
      </c>
      <c r="N157" s="1" t="s">
        <v>86</v>
      </c>
      <c r="O157" s="1" t="s">
        <v>112</v>
      </c>
    </row>
    <row r="158" spans="1:15" ht="18.95" customHeight="1" x14ac:dyDescent="0.25">
      <c r="A158" s="1" t="s">
        <v>410</v>
      </c>
      <c r="B158" s="30">
        <v>45430.5</v>
      </c>
      <c r="C158" s="1" t="s">
        <v>362</v>
      </c>
      <c r="D158" s="1" t="s">
        <v>363</v>
      </c>
      <c r="E158" s="1" t="s">
        <v>150</v>
      </c>
      <c r="F158" s="1" t="s">
        <v>105</v>
      </c>
      <c r="G158" s="1" t="s">
        <v>293</v>
      </c>
      <c r="H158" s="1" t="s">
        <v>99</v>
      </c>
      <c r="I158" s="31">
        <v>3</v>
      </c>
      <c r="J158" s="32">
        <v>109.99</v>
      </c>
      <c r="K158" s="32">
        <v>329.97</v>
      </c>
      <c r="L158" s="32">
        <v>250.78</v>
      </c>
      <c r="M158" s="32">
        <v>79.19</v>
      </c>
      <c r="N158" s="1" t="s">
        <v>111</v>
      </c>
      <c r="O158" s="1" t="s">
        <v>112</v>
      </c>
    </row>
    <row r="159" spans="1:15" ht="18.95" customHeight="1" x14ac:dyDescent="0.25">
      <c r="A159" s="1" t="s">
        <v>411</v>
      </c>
      <c r="B159" s="30">
        <v>45433.5</v>
      </c>
      <c r="C159" s="1" t="s">
        <v>412</v>
      </c>
      <c r="D159" s="1" t="s">
        <v>413</v>
      </c>
      <c r="E159" s="1" t="s">
        <v>193</v>
      </c>
      <c r="F159" s="1" t="s">
        <v>194</v>
      </c>
      <c r="G159" s="1" t="s">
        <v>230</v>
      </c>
      <c r="H159" s="1" t="s">
        <v>128</v>
      </c>
      <c r="I159" s="31">
        <v>1</v>
      </c>
      <c r="J159" s="32">
        <v>44.99</v>
      </c>
      <c r="K159" s="32">
        <v>44.99</v>
      </c>
      <c r="L159" s="32">
        <v>29.02</v>
      </c>
      <c r="M159" s="32">
        <v>15.97</v>
      </c>
      <c r="N159" s="1" t="s">
        <v>117</v>
      </c>
      <c r="O159" s="1" t="s">
        <v>233</v>
      </c>
    </row>
    <row r="160" spans="1:15" ht="18.95" customHeight="1" x14ac:dyDescent="0.25">
      <c r="A160" s="1" t="s">
        <v>414</v>
      </c>
      <c r="B160" s="30">
        <v>45435.5</v>
      </c>
      <c r="C160" s="1" t="s">
        <v>95</v>
      </c>
      <c r="D160" s="1" t="s">
        <v>96</v>
      </c>
      <c r="E160" s="1" t="s">
        <v>97</v>
      </c>
      <c r="F160" s="1" t="s">
        <v>91</v>
      </c>
      <c r="G160" s="1" t="s">
        <v>306</v>
      </c>
      <c r="H160" s="1" t="s">
        <v>76</v>
      </c>
      <c r="I160" s="31">
        <v>1</v>
      </c>
      <c r="J160" s="32">
        <v>21.24</v>
      </c>
      <c r="K160" s="32">
        <v>21.24</v>
      </c>
      <c r="L160" s="32">
        <v>13.19</v>
      </c>
      <c r="M160" s="32">
        <v>8.0500000000000007</v>
      </c>
      <c r="N160" s="1" t="s">
        <v>111</v>
      </c>
      <c r="O160" s="1" t="s">
        <v>112</v>
      </c>
    </row>
    <row r="161" spans="1:15" ht="18.95" customHeight="1" x14ac:dyDescent="0.25">
      <c r="A161" s="1" t="s">
        <v>414</v>
      </c>
      <c r="B161" s="30">
        <v>45435.5</v>
      </c>
      <c r="C161" s="1" t="s">
        <v>95</v>
      </c>
      <c r="D161" s="1" t="s">
        <v>96</v>
      </c>
      <c r="E161" s="1" t="s">
        <v>97</v>
      </c>
      <c r="F161" s="1" t="s">
        <v>91</v>
      </c>
      <c r="G161" s="1" t="s">
        <v>322</v>
      </c>
      <c r="H161" s="1" t="s">
        <v>128</v>
      </c>
      <c r="I161" s="31">
        <v>1</v>
      </c>
      <c r="J161" s="32">
        <v>59.99</v>
      </c>
      <c r="K161" s="32">
        <v>59.99</v>
      </c>
      <c r="L161" s="32">
        <v>42.59</v>
      </c>
      <c r="M161" s="32">
        <v>17.399999999999999</v>
      </c>
      <c r="N161" s="1" t="s">
        <v>111</v>
      </c>
      <c r="O161" s="1" t="s">
        <v>112</v>
      </c>
    </row>
    <row r="162" spans="1:15" ht="18.95" customHeight="1" x14ac:dyDescent="0.25">
      <c r="A162" s="1" t="s">
        <v>415</v>
      </c>
      <c r="B162" s="30">
        <v>45437.5</v>
      </c>
      <c r="C162" s="1" t="s">
        <v>261</v>
      </c>
      <c r="D162" s="1" t="s">
        <v>262</v>
      </c>
      <c r="E162" s="1" t="s">
        <v>169</v>
      </c>
      <c r="F162" s="1" t="s">
        <v>170</v>
      </c>
      <c r="G162" s="1" t="s">
        <v>230</v>
      </c>
      <c r="H162" s="1" t="s">
        <v>128</v>
      </c>
      <c r="I162" s="31">
        <v>2</v>
      </c>
      <c r="J162" s="32">
        <v>44.99</v>
      </c>
      <c r="K162" s="32">
        <v>89.98</v>
      </c>
      <c r="L162" s="32">
        <v>59.39</v>
      </c>
      <c r="M162" s="32">
        <v>30.59</v>
      </c>
      <c r="N162" s="1" t="s">
        <v>86</v>
      </c>
      <c r="O162" s="1" t="s">
        <v>112</v>
      </c>
    </row>
    <row r="163" spans="1:15" ht="18.95" customHeight="1" x14ac:dyDescent="0.25">
      <c r="A163" s="1" t="s">
        <v>416</v>
      </c>
      <c r="B163" s="30">
        <v>45438.5</v>
      </c>
      <c r="C163" s="1" t="s">
        <v>417</v>
      </c>
      <c r="D163" s="1" t="s">
        <v>418</v>
      </c>
      <c r="E163" s="1" t="s">
        <v>82</v>
      </c>
      <c r="F163" s="1" t="s">
        <v>83</v>
      </c>
      <c r="G163" s="1" t="s">
        <v>98</v>
      </c>
      <c r="H163" s="1" t="s">
        <v>99</v>
      </c>
      <c r="I163" s="31">
        <v>1</v>
      </c>
      <c r="J163" s="32">
        <v>29.99</v>
      </c>
      <c r="K163" s="32">
        <v>29.99</v>
      </c>
      <c r="L163" s="32">
        <v>17.09</v>
      </c>
      <c r="M163" s="32">
        <v>12.9</v>
      </c>
      <c r="N163" s="1" t="s">
        <v>86</v>
      </c>
      <c r="O163" s="1" t="s">
        <v>112</v>
      </c>
    </row>
    <row r="164" spans="1:15" ht="18.95" customHeight="1" x14ac:dyDescent="0.25">
      <c r="A164" s="1" t="s">
        <v>419</v>
      </c>
      <c r="B164" s="30">
        <v>45439.5</v>
      </c>
      <c r="C164" s="1" t="s">
        <v>420</v>
      </c>
      <c r="D164" s="1" t="s">
        <v>421</v>
      </c>
      <c r="E164" s="1" t="s">
        <v>74</v>
      </c>
      <c r="F164" s="1" t="s">
        <v>74</v>
      </c>
      <c r="G164" s="1" t="s">
        <v>75</v>
      </c>
      <c r="H164" s="1" t="s">
        <v>76</v>
      </c>
      <c r="I164" s="31">
        <v>2</v>
      </c>
      <c r="J164" s="32">
        <v>26.99</v>
      </c>
      <c r="K164" s="32">
        <v>53.98</v>
      </c>
      <c r="L164" s="32">
        <v>30.23</v>
      </c>
      <c r="M164" s="32">
        <v>23.75</v>
      </c>
      <c r="N164" s="1" t="s">
        <v>86</v>
      </c>
      <c r="O164" s="1" t="s">
        <v>112</v>
      </c>
    </row>
    <row r="165" spans="1:15" ht="18.95" customHeight="1" x14ac:dyDescent="0.25">
      <c r="A165" s="1" t="s">
        <v>422</v>
      </c>
      <c r="B165" s="30">
        <v>45440.5</v>
      </c>
      <c r="C165" s="1" t="s">
        <v>423</v>
      </c>
      <c r="D165" s="1" t="s">
        <v>424</v>
      </c>
      <c r="E165" s="1" t="s">
        <v>104</v>
      </c>
      <c r="F165" s="1" t="s">
        <v>105</v>
      </c>
      <c r="G165" s="1" t="s">
        <v>293</v>
      </c>
      <c r="H165" s="1" t="s">
        <v>99</v>
      </c>
      <c r="I165" s="31">
        <v>3</v>
      </c>
      <c r="J165" s="32">
        <v>98.99</v>
      </c>
      <c r="K165" s="32">
        <v>296.97000000000003</v>
      </c>
      <c r="L165" s="32">
        <v>248.14</v>
      </c>
      <c r="M165" s="32">
        <v>48.83</v>
      </c>
      <c r="N165" s="1" t="s">
        <v>86</v>
      </c>
      <c r="O165" s="1" t="s">
        <v>112</v>
      </c>
    </row>
    <row r="166" spans="1:15" ht="18.95" customHeight="1" x14ac:dyDescent="0.25">
      <c r="A166" s="1" t="s">
        <v>425</v>
      </c>
      <c r="B166" s="30">
        <v>45441.5</v>
      </c>
      <c r="C166" s="1" t="s">
        <v>426</v>
      </c>
      <c r="D166" s="1" t="s">
        <v>427</v>
      </c>
      <c r="E166" s="1" t="s">
        <v>237</v>
      </c>
      <c r="F166" s="1" t="s">
        <v>238</v>
      </c>
      <c r="G166" s="1" t="s">
        <v>157</v>
      </c>
      <c r="H166" s="1" t="s">
        <v>93</v>
      </c>
      <c r="I166" s="31">
        <v>1</v>
      </c>
      <c r="J166" s="32">
        <v>19.989999999999998</v>
      </c>
      <c r="K166" s="32">
        <v>19.989999999999998</v>
      </c>
      <c r="L166" s="32">
        <v>9.9</v>
      </c>
      <c r="M166" s="32">
        <v>10.09</v>
      </c>
      <c r="N166" s="1" t="s">
        <v>111</v>
      </c>
      <c r="O166" s="1" t="s">
        <v>78</v>
      </c>
    </row>
    <row r="167" spans="1:15" ht="18.95" customHeight="1" x14ac:dyDescent="0.25">
      <c r="A167" s="1" t="s">
        <v>428</v>
      </c>
      <c r="B167" s="30">
        <v>45441.5</v>
      </c>
      <c r="C167" s="1" t="s">
        <v>270</v>
      </c>
      <c r="D167" s="1" t="s">
        <v>271</v>
      </c>
      <c r="E167" s="1" t="s">
        <v>212</v>
      </c>
      <c r="F167" s="1" t="s">
        <v>83</v>
      </c>
      <c r="G167" s="1" t="s">
        <v>127</v>
      </c>
      <c r="H167" s="1" t="s">
        <v>128</v>
      </c>
      <c r="I167" s="31">
        <v>1</v>
      </c>
      <c r="J167" s="32">
        <v>19.989999999999998</v>
      </c>
      <c r="K167" s="32">
        <v>19.989999999999998</v>
      </c>
      <c r="L167" s="32">
        <v>15.34</v>
      </c>
      <c r="M167" s="32">
        <v>4.6500000000000004</v>
      </c>
      <c r="N167" s="1" t="s">
        <v>111</v>
      </c>
      <c r="O167" s="1" t="s">
        <v>112</v>
      </c>
    </row>
    <row r="168" spans="1:15" ht="18.95" customHeight="1" x14ac:dyDescent="0.25">
      <c r="A168" s="1" t="s">
        <v>428</v>
      </c>
      <c r="B168" s="30">
        <v>45441.5</v>
      </c>
      <c r="C168" s="1" t="s">
        <v>270</v>
      </c>
      <c r="D168" s="1" t="s">
        <v>271</v>
      </c>
      <c r="E168" s="1" t="s">
        <v>212</v>
      </c>
      <c r="F168" s="1" t="s">
        <v>83</v>
      </c>
      <c r="G168" s="1" t="s">
        <v>106</v>
      </c>
      <c r="H168" s="1" t="s">
        <v>99</v>
      </c>
      <c r="I168" s="31">
        <v>1</v>
      </c>
      <c r="J168" s="32">
        <v>79.989999999999995</v>
      </c>
      <c r="K168" s="32">
        <v>79.989999999999995</v>
      </c>
      <c r="L168" s="32">
        <v>57.59</v>
      </c>
      <c r="M168" s="32">
        <v>22.4</v>
      </c>
      <c r="N168" s="1" t="s">
        <v>111</v>
      </c>
      <c r="O168" s="1" t="s">
        <v>112</v>
      </c>
    </row>
    <row r="169" spans="1:15" ht="18.95" customHeight="1" x14ac:dyDescent="0.25">
      <c r="A169" s="1" t="s">
        <v>429</v>
      </c>
      <c r="B169" s="30">
        <v>45442.5</v>
      </c>
      <c r="C169" s="1" t="s">
        <v>72</v>
      </c>
      <c r="D169" s="1" t="s">
        <v>73</v>
      </c>
      <c r="E169" s="1" t="s">
        <v>74</v>
      </c>
      <c r="F169" s="1" t="s">
        <v>74</v>
      </c>
      <c r="G169" s="1" t="s">
        <v>179</v>
      </c>
      <c r="H169" s="1" t="s">
        <v>128</v>
      </c>
      <c r="I169" s="31">
        <v>1</v>
      </c>
      <c r="J169" s="32">
        <v>39.99</v>
      </c>
      <c r="K169" s="32">
        <v>39.99</v>
      </c>
      <c r="L169" s="32">
        <v>23.99</v>
      </c>
      <c r="M169" s="32">
        <v>16</v>
      </c>
      <c r="N169" s="1" t="s">
        <v>86</v>
      </c>
      <c r="O169" s="1" t="s">
        <v>112</v>
      </c>
    </row>
    <row r="170" spans="1:15" ht="18.95" customHeight="1" x14ac:dyDescent="0.25">
      <c r="A170" s="1" t="s">
        <v>430</v>
      </c>
      <c r="B170" s="30">
        <v>45443.5</v>
      </c>
      <c r="C170" s="1" t="s">
        <v>296</v>
      </c>
      <c r="D170" s="1" t="s">
        <v>297</v>
      </c>
      <c r="E170" s="1" t="s">
        <v>174</v>
      </c>
      <c r="F170" s="1" t="s">
        <v>175</v>
      </c>
      <c r="G170" s="1" t="s">
        <v>259</v>
      </c>
      <c r="H170" s="1" t="s">
        <v>85</v>
      </c>
      <c r="I170" s="31">
        <v>2</v>
      </c>
      <c r="J170" s="32">
        <v>189.99</v>
      </c>
      <c r="K170" s="32">
        <v>379.98</v>
      </c>
      <c r="L170" s="32">
        <v>326.38</v>
      </c>
      <c r="M170" s="32">
        <v>53.6</v>
      </c>
      <c r="N170" s="1" t="s">
        <v>315</v>
      </c>
      <c r="O170" s="1" t="s">
        <v>112</v>
      </c>
    </row>
    <row r="171" spans="1:15" ht="18.95" customHeight="1" x14ac:dyDescent="0.25">
      <c r="A171" s="1" t="s">
        <v>430</v>
      </c>
      <c r="B171" s="30">
        <v>45443.5</v>
      </c>
      <c r="C171" s="1" t="s">
        <v>296</v>
      </c>
      <c r="D171" s="1" t="s">
        <v>297</v>
      </c>
      <c r="E171" s="1" t="s">
        <v>174</v>
      </c>
      <c r="F171" s="1" t="s">
        <v>175</v>
      </c>
      <c r="G171" s="1" t="s">
        <v>110</v>
      </c>
      <c r="H171" s="1" t="s">
        <v>85</v>
      </c>
      <c r="I171" s="31">
        <v>2</v>
      </c>
      <c r="J171" s="32">
        <v>12.99</v>
      </c>
      <c r="K171" s="32">
        <v>25.98</v>
      </c>
      <c r="L171" s="32">
        <v>12.99</v>
      </c>
      <c r="M171" s="32">
        <v>12.99</v>
      </c>
      <c r="N171" s="1" t="s">
        <v>315</v>
      </c>
      <c r="O171" s="1" t="s">
        <v>112</v>
      </c>
    </row>
    <row r="172" spans="1:15" ht="18.95" customHeight="1" x14ac:dyDescent="0.25">
      <c r="A172" s="1" t="s">
        <v>431</v>
      </c>
      <c r="B172" s="30">
        <v>45443.5</v>
      </c>
      <c r="C172" s="1" t="s">
        <v>432</v>
      </c>
      <c r="D172" s="1" t="s">
        <v>433</v>
      </c>
      <c r="E172" s="1" t="s">
        <v>164</v>
      </c>
      <c r="F172" s="1" t="s">
        <v>165</v>
      </c>
      <c r="G172" s="1" t="s">
        <v>132</v>
      </c>
      <c r="H172" s="1" t="s">
        <v>99</v>
      </c>
      <c r="I172" s="31">
        <v>1</v>
      </c>
      <c r="J172" s="32">
        <v>89.99</v>
      </c>
      <c r="K172" s="32">
        <v>89.99</v>
      </c>
      <c r="L172" s="32">
        <v>70.19</v>
      </c>
      <c r="M172" s="32">
        <v>19.8</v>
      </c>
      <c r="N172" s="1" t="s">
        <v>117</v>
      </c>
      <c r="O172" s="1" t="s">
        <v>118</v>
      </c>
    </row>
    <row r="173" spans="1:15" ht="18.95" customHeight="1" x14ac:dyDescent="0.25">
      <c r="A173" s="1" t="s">
        <v>434</v>
      </c>
      <c r="B173" s="30">
        <v>45445.5</v>
      </c>
      <c r="C173" s="1" t="s">
        <v>282</v>
      </c>
      <c r="D173" s="1" t="s">
        <v>283</v>
      </c>
      <c r="E173" s="1" t="s">
        <v>164</v>
      </c>
      <c r="F173" s="1" t="s">
        <v>165</v>
      </c>
      <c r="G173" s="1" t="s">
        <v>230</v>
      </c>
      <c r="H173" s="1" t="s">
        <v>128</v>
      </c>
      <c r="I173" s="31">
        <v>2</v>
      </c>
      <c r="J173" s="32">
        <v>44.99</v>
      </c>
      <c r="K173" s="32">
        <v>89.98</v>
      </c>
      <c r="L173" s="32">
        <v>59.39</v>
      </c>
      <c r="M173" s="32">
        <v>30.59</v>
      </c>
      <c r="N173" s="1" t="s">
        <v>315</v>
      </c>
      <c r="O173" s="1" t="s">
        <v>112</v>
      </c>
    </row>
    <row r="174" spans="1:15" ht="18.95" customHeight="1" x14ac:dyDescent="0.25">
      <c r="A174" s="1" t="s">
        <v>435</v>
      </c>
      <c r="B174" s="30">
        <v>45445.5</v>
      </c>
      <c r="C174" s="1" t="s">
        <v>153</v>
      </c>
      <c r="D174" s="1" t="s">
        <v>154</v>
      </c>
      <c r="E174" s="1" t="s">
        <v>97</v>
      </c>
      <c r="F174" s="1" t="s">
        <v>91</v>
      </c>
      <c r="G174" s="1" t="s">
        <v>226</v>
      </c>
      <c r="H174" s="1" t="s">
        <v>85</v>
      </c>
      <c r="I174" s="31">
        <v>1</v>
      </c>
      <c r="J174" s="32">
        <v>71.239999999999995</v>
      </c>
      <c r="K174" s="32">
        <v>71.239999999999995</v>
      </c>
      <c r="L174" s="32">
        <v>52.19</v>
      </c>
      <c r="M174" s="32">
        <v>19.05</v>
      </c>
      <c r="N174" s="1" t="s">
        <v>117</v>
      </c>
      <c r="O174" s="1" t="s">
        <v>112</v>
      </c>
    </row>
    <row r="175" spans="1:15" ht="18.95" customHeight="1" x14ac:dyDescent="0.25">
      <c r="A175" s="1" t="s">
        <v>436</v>
      </c>
      <c r="B175" s="30">
        <v>45447.5</v>
      </c>
      <c r="C175" s="1" t="s">
        <v>328</v>
      </c>
      <c r="D175" s="1" t="s">
        <v>329</v>
      </c>
      <c r="E175" s="1" t="s">
        <v>330</v>
      </c>
      <c r="F175" s="1" t="s">
        <v>238</v>
      </c>
      <c r="G175" s="1" t="s">
        <v>322</v>
      </c>
      <c r="H175" s="1" t="s">
        <v>128</v>
      </c>
      <c r="I175" s="31">
        <v>1</v>
      </c>
      <c r="J175" s="32">
        <v>50.99</v>
      </c>
      <c r="K175" s="32">
        <v>50.99</v>
      </c>
      <c r="L175" s="32">
        <v>41.87</v>
      </c>
      <c r="M175" s="32">
        <v>9.1199999999999992</v>
      </c>
      <c r="N175" s="1" t="s">
        <v>111</v>
      </c>
      <c r="O175" s="1" t="s">
        <v>112</v>
      </c>
    </row>
    <row r="176" spans="1:15" ht="18.95" customHeight="1" x14ac:dyDescent="0.25">
      <c r="A176" s="1" t="s">
        <v>436</v>
      </c>
      <c r="B176" s="30">
        <v>45447.5</v>
      </c>
      <c r="C176" s="1" t="s">
        <v>328</v>
      </c>
      <c r="D176" s="1" t="s">
        <v>329</v>
      </c>
      <c r="E176" s="1" t="s">
        <v>330</v>
      </c>
      <c r="F176" s="1" t="s">
        <v>238</v>
      </c>
      <c r="G176" s="1" t="s">
        <v>110</v>
      </c>
      <c r="H176" s="1" t="s">
        <v>85</v>
      </c>
      <c r="I176" s="31">
        <v>2</v>
      </c>
      <c r="J176" s="32">
        <v>12.99</v>
      </c>
      <c r="K176" s="32">
        <v>25.98</v>
      </c>
      <c r="L176" s="32">
        <v>12.99</v>
      </c>
      <c r="M176" s="32">
        <v>12.99</v>
      </c>
      <c r="N176" s="1" t="s">
        <v>111</v>
      </c>
      <c r="O176" s="1" t="s">
        <v>112</v>
      </c>
    </row>
    <row r="177" spans="1:15" ht="18.95" customHeight="1" x14ac:dyDescent="0.25">
      <c r="A177" s="1" t="s">
        <v>437</v>
      </c>
      <c r="B177" s="30">
        <v>45447.5</v>
      </c>
      <c r="C177" s="1" t="s">
        <v>438</v>
      </c>
      <c r="D177" s="1" t="s">
        <v>439</v>
      </c>
      <c r="E177" s="1" t="s">
        <v>169</v>
      </c>
      <c r="F177" s="1" t="s">
        <v>170</v>
      </c>
      <c r="G177" s="1" t="s">
        <v>188</v>
      </c>
      <c r="H177" s="1" t="s">
        <v>76</v>
      </c>
      <c r="I177" s="31">
        <v>3</v>
      </c>
      <c r="J177" s="32">
        <v>84.99</v>
      </c>
      <c r="K177" s="32">
        <v>254.97</v>
      </c>
      <c r="L177" s="32">
        <v>179.75</v>
      </c>
      <c r="M177" s="32">
        <v>75.22</v>
      </c>
      <c r="N177" s="1" t="s">
        <v>117</v>
      </c>
      <c r="O177" s="1" t="s">
        <v>78</v>
      </c>
    </row>
    <row r="178" spans="1:15" ht="18.95" customHeight="1" x14ac:dyDescent="0.25">
      <c r="A178" s="1" t="s">
        <v>440</v>
      </c>
      <c r="B178" s="30">
        <v>45447.5</v>
      </c>
      <c r="C178" s="1" t="s">
        <v>181</v>
      </c>
      <c r="D178" s="1" t="s">
        <v>182</v>
      </c>
      <c r="E178" s="1" t="s">
        <v>183</v>
      </c>
      <c r="F178" s="1" t="s">
        <v>137</v>
      </c>
      <c r="G178" s="1" t="s">
        <v>110</v>
      </c>
      <c r="H178" s="1" t="s">
        <v>85</v>
      </c>
      <c r="I178" s="31">
        <v>3</v>
      </c>
      <c r="J178" s="32">
        <v>11.04</v>
      </c>
      <c r="K178" s="32">
        <v>33.119999999999997</v>
      </c>
      <c r="L178" s="32">
        <v>19.02</v>
      </c>
      <c r="M178" s="32">
        <v>14.1</v>
      </c>
      <c r="N178" s="1" t="s">
        <v>86</v>
      </c>
      <c r="O178" s="1" t="s">
        <v>112</v>
      </c>
    </row>
    <row r="179" spans="1:15" ht="18.95" customHeight="1" x14ac:dyDescent="0.25">
      <c r="A179" s="1" t="s">
        <v>441</v>
      </c>
      <c r="B179" s="30">
        <v>45447.5</v>
      </c>
      <c r="C179" s="1" t="s">
        <v>442</v>
      </c>
      <c r="D179" s="1" t="s">
        <v>443</v>
      </c>
      <c r="E179" s="1" t="s">
        <v>82</v>
      </c>
      <c r="F179" s="1" t="s">
        <v>83</v>
      </c>
      <c r="G179" s="1" t="s">
        <v>116</v>
      </c>
      <c r="H179" s="1" t="s">
        <v>76</v>
      </c>
      <c r="I179" s="31">
        <v>1</v>
      </c>
      <c r="J179" s="32">
        <v>14.99</v>
      </c>
      <c r="K179" s="32">
        <v>14.99</v>
      </c>
      <c r="L179" s="32">
        <v>6.82</v>
      </c>
      <c r="M179" s="32">
        <v>8.17</v>
      </c>
      <c r="N179" s="1" t="s">
        <v>77</v>
      </c>
      <c r="O179" s="1" t="s">
        <v>78</v>
      </c>
    </row>
    <row r="180" spans="1:15" ht="18.95" customHeight="1" x14ac:dyDescent="0.25">
      <c r="A180" s="1" t="s">
        <v>444</v>
      </c>
      <c r="B180" s="30">
        <v>45448.5</v>
      </c>
      <c r="C180" s="1" t="s">
        <v>108</v>
      </c>
      <c r="D180" s="1" t="s">
        <v>109</v>
      </c>
      <c r="E180" s="1" t="s">
        <v>74</v>
      </c>
      <c r="F180" s="1" t="s">
        <v>74</v>
      </c>
      <c r="G180" s="1" t="s">
        <v>230</v>
      </c>
      <c r="H180" s="1" t="s">
        <v>128</v>
      </c>
      <c r="I180" s="31">
        <v>1</v>
      </c>
      <c r="J180" s="32">
        <v>44.99</v>
      </c>
      <c r="K180" s="32">
        <v>44.99</v>
      </c>
      <c r="L180" s="32">
        <v>28.57</v>
      </c>
      <c r="M180" s="32">
        <v>16.420000000000002</v>
      </c>
      <c r="N180" s="1" t="s">
        <v>117</v>
      </c>
      <c r="O180" s="1" t="s">
        <v>78</v>
      </c>
    </row>
    <row r="181" spans="1:15" ht="18.95" customHeight="1" x14ac:dyDescent="0.25">
      <c r="A181" s="1" t="s">
        <v>444</v>
      </c>
      <c r="B181" s="30">
        <v>45448.5</v>
      </c>
      <c r="C181" s="1" t="s">
        <v>108</v>
      </c>
      <c r="D181" s="1" t="s">
        <v>109</v>
      </c>
      <c r="E181" s="1" t="s">
        <v>74</v>
      </c>
      <c r="F181" s="1" t="s">
        <v>74</v>
      </c>
      <c r="G181" s="1" t="s">
        <v>98</v>
      </c>
      <c r="H181" s="1" t="s">
        <v>99</v>
      </c>
      <c r="I181" s="31">
        <v>1</v>
      </c>
      <c r="J181" s="32">
        <v>25.49</v>
      </c>
      <c r="K181" s="32">
        <v>25.49</v>
      </c>
      <c r="L181" s="32">
        <v>16.100000000000001</v>
      </c>
      <c r="M181" s="32">
        <v>9.39</v>
      </c>
      <c r="N181" s="1" t="s">
        <v>117</v>
      </c>
      <c r="O181" s="1" t="s">
        <v>78</v>
      </c>
    </row>
    <row r="182" spans="1:15" ht="18.95" customHeight="1" x14ac:dyDescent="0.25">
      <c r="A182" s="1" t="s">
        <v>444</v>
      </c>
      <c r="B182" s="30">
        <v>45448.5</v>
      </c>
      <c r="C182" s="1" t="s">
        <v>108</v>
      </c>
      <c r="D182" s="1" t="s">
        <v>109</v>
      </c>
      <c r="E182" s="1" t="s">
        <v>74</v>
      </c>
      <c r="F182" s="1" t="s">
        <v>74</v>
      </c>
      <c r="G182" s="1" t="s">
        <v>138</v>
      </c>
      <c r="H182" s="1" t="s">
        <v>99</v>
      </c>
      <c r="I182" s="31">
        <v>1</v>
      </c>
      <c r="J182" s="32">
        <v>34.99</v>
      </c>
      <c r="K182" s="32">
        <v>34.99</v>
      </c>
      <c r="L182" s="32">
        <v>21.87</v>
      </c>
      <c r="M182" s="32">
        <v>13.12</v>
      </c>
      <c r="N182" s="1" t="s">
        <v>117</v>
      </c>
      <c r="O182" s="1" t="s">
        <v>78</v>
      </c>
    </row>
    <row r="183" spans="1:15" ht="18.95" customHeight="1" x14ac:dyDescent="0.25">
      <c r="A183" s="1" t="s">
        <v>445</v>
      </c>
      <c r="B183" s="30">
        <v>45448.5</v>
      </c>
      <c r="C183" s="1" t="s">
        <v>446</v>
      </c>
      <c r="D183" s="1" t="s">
        <v>447</v>
      </c>
      <c r="E183" s="1" t="s">
        <v>136</v>
      </c>
      <c r="F183" s="1" t="s">
        <v>137</v>
      </c>
      <c r="G183" s="1" t="s">
        <v>202</v>
      </c>
      <c r="H183" s="1" t="s">
        <v>85</v>
      </c>
      <c r="I183" s="31">
        <v>2</v>
      </c>
      <c r="J183" s="32">
        <v>7.99</v>
      </c>
      <c r="K183" s="32">
        <v>15.98</v>
      </c>
      <c r="L183" s="32">
        <v>8.9499999999999993</v>
      </c>
      <c r="M183" s="32">
        <v>7.03</v>
      </c>
      <c r="N183" s="1" t="s">
        <v>86</v>
      </c>
      <c r="O183" s="1" t="s">
        <v>112</v>
      </c>
    </row>
    <row r="184" spans="1:15" ht="18.95" customHeight="1" x14ac:dyDescent="0.25">
      <c r="A184" s="1" t="s">
        <v>448</v>
      </c>
      <c r="B184" s="30">
        <v>45449.5</v>
      </c>
      <c r="C184" s="1" t="s">
        <v>373</v>
      </c>
      <c r="D184" s="1" t="s">
        <v>374</v>
      </c>
      <c r="E184" s="1" t="s">
        <v>90</v>
      </c>
      <c r="F184" s="1" t="s">
        <v>91</v>
      </c>
      <c r="G184" s="1" t="s">
        <v>98</v>
      </c>
      <c r="H184" s="1" t="s">
        <v>99</v>
      </c>
      <c r="I184" s="31">
        <v>2</v>
      </c>
      <c r="J184" s="32">
        <v>29.99</v>
      </c>
      <c r="K184" s="32">
        <v>59.98</v>
      </c>
      <c r="L184" s="32">
        <v>32.69</v>
      </c>
      <c r="M184" s="32">
        <v>27.29</v>
      </c>
      <c r="N184" s="1" t="s">
        <v>86</v>
      </c>
      <c r="O184" s="1" t="s">
        <v>78</v>
      </c>
    </row>
    <row r="185" spans="1:15" ht="18.95" customHeight="1" x14ac:dyDescent="0.25">
      <c r="A185" s="1" t="s">
        <v>449</v>
      </c>
      <c r="B185" s="30">
        <v>45451.5</v>
      </c>
      <c r="C185" s="1" t="s">
        <v>450</v>
      </c>
      <c r="D185" s="1" t="s">
        <v>451</v>
      </c>
      <c r="E185" s="1" t="s">
        <v>183</v>
      </c>
      <c r="F185" s="1" t="s">
        <v>137</v>
      </c>
      <c r="G185" s="1" t="s">
        <v>138</v>
      </c>
      <c r="H185" s="1" t="s">
        <v>99</v>
      </c>
      <c r="I185" s="31">
        <v>1</v>
      </c>
      <c r="J185" s="32">
        <v>34.99</v>
      </c>
      <c r="K185" s="32">
        <v>34.99</v>
      </c>
      <c r="L185" s="32">
        <v>21.87</v>
      </c>
      <c r="M185" s="32">
        <v>13.12</v>
      </c>
      <c r="N185" s="1" t="s">
        <v>117</v>
      </c>
      <c r="O185" s="1" t="s">
        <v>78</v>
      </c>
    </row>
    <row r="186" spans="1:15" ht="18.95" customHeight="1" x14ac:dyDescent="0.25">
      <c r="A186" s="1" t="s">
        <v>452</v>
      </c>
      <c r="B186" s="30">
        <v>45452.5</v>
      </c>
      <c r="C186" s="1" t="s">
        <v>453</v>
      </c>
      <c r="D186" s="1" t="s">
        <v>454</v>
      </c>
      <c r="E186" s="1" t="s">
        <v>90</v>
      </c>
      <c r="F186" s="1" t="s">
        <v>91</v>
      </c>
      <c r="G186" s="1" t="s">
        <v>84</v>
      </c>
      <c r="H186" s="1" t="s">
        <v>85</v>
      </c>
      <c r="I186" s="31">
        <v>1</v>
      </c>
      <c r="J186" s="32">
        <v>8.5399999999999991</v>
      </c>
      <c r="K186" s="32">
        <v>8.5399999999999991</v>
      </c>
      <c r="L186" s="32">
        <v>4.1900000000000004</v>
      </c>
      <c r="M186" s="32">
        <v>4.3499999999999996</v>
      </c>
      <c r="N186" s="1" t="s">
        <v>86</v>
      </c>
      <c r="O186" s="1" t="s">
        <v>112</v>
      </c>
    </row>
    <row r="187" spans="1:15" ht="18.95" customHeight="1" x14ac:dyDescent="0.25">
      <c r="A187" s="1" t="s">
        <v>452</v>
      </c>
      <c r="B187" s="30">
        <v>45452.5</v>
      </c>
      <c r="C187" s="1" t="s">
        <v>453</v>
      </c>
      <c r="D187" s="1" t="s">
        <v>454</v>
      </c>
      <c r="E187" s="1" t="s">
        <v>90</v>
      </c>
      <c r="F187" s="1" t="s">
        <v>91</v>
      </c>
      <c r="G187" s="1" t="s">
        <v>106</v>
      </c>
      <c r="H187" s="1" t="s">
        <v>99</v>
      </c>
      <c r="I187" s="31">
        <v>1</v>
      </c>
      <c r="J187" s="32">
        <v>71.989999999999995</v>
      </c>
      <c r="K187" s="32">
        <v>71.989999999999995</v>
      </c>
      <c r="L187" s="32">
        <v>56.95</v>
      </c>
      <c r="M187" s="32">
        <v>15.04</v>
      </c>
      <c r="N187" s="1" t="s">
        <v>86</v>
      </c>
      <c r="O187" s="1" t="s">
        <v>112</v>
      </c>
    </row>
    <row r="188" spans="1:15" ht="18.95" customHeight="1" x14ac:dyDescent="0.25">
      <c r="A188" s="1" t="s">
        <v>455</v>
      </c>
      <c r="B188" s="30">
        <v>45454.5</v>
      </c>
      <c r="C188" s="1" t="s">
        <v>200</v>
      </c>
      <c r="D188" s="1" t="s">
        <v>201</v>
      </c>
      <c r="E188" s="1" t="s">
        <v>136</v>
      </c>
      <c r="F188" s="1" t="s">
        <v>137</v>
      </c>
      <c r="G188" s="1" t="s">
        <v>127</v>
      </c>
      <c r="H188" s="1" t="s">
        <v>128</v>
      </c>
      <c r="I188" s="31">
        <v>6</v>
      </c>
      <c r="J188" s="32">
        <v>24.99</v>
      </c>
      <c r="K188" s="32">
        <v>149.94</v>
      </c>
      <c r="L188" s="32">
        <v>90.71</v>
      </c>
      <c r="M188" s="32">
        <v>59.23</v>
      </c>
      <c r="N188" s="1" t="s">
        <v>117</v>
      </c>
      <c r="O188" s="1" t="s">
        <v>78</v>
      </c>
    </row>
    <row r="189" spans="1:15" ht="18.95" customHeight="1" x14ac:dyDescent="0.25">
      <c r="A189" s="1" t="s">
        <v>455</v>
      </c>
      <c r="B189" s="30">
        <v>45454.5</v>
      </c>
      <c r="C189" s="1" t="s">
        <v>200</v>
      </c>
      <c r="D189" s="1" t="s">
        <v>201</v>
      </c>
      <c r="E189" s="1" t="s">
        <v>136</v>
      </c>
      <c r="F189" s="1" t="s">
        <v>137</v>
      </c>
      <c r="G189" s="1" t="s">
        <v>207</v>
      </c>
      <c r="H189" s="1" t="s">
        <v>85</v>
      </c>
      <c r="I189" s="31">
        <v>1</v>
      </c>
      <c r="J189" s="32">
        <v>107.99</v>
      </c>
      <c r="K189" s="32">
        <v>107.99</v>
      </c>
      <c r="L189" s="32">
        <v>88.73</v>
      </c>
      <c r="M189" s="32">
        <v>19.260000000000002</v>
      </c>
      <c r="N189" s="1" t="s">
        <v>117</v>
      </c>
      <c r="O189" s="1" t="s">
        <v>78</v>
      </c>
    </row>
    <row r="190" spans="1:15" ht="18.95" customHeight="1" x14ac:dyDescent="0.25">
      <c r="A190" s="1" t="s">
        <v>456</v>
      </c>
      <c r="B190" s="30">
        <v>45455.5</v>
      </c>
      <c r="C190" s="1" t="s">
        <v>457</v>
      </c>
      <c r="D190" s="1" t="s">
        <v>458</v>
      </c>
      <c r="E190" s="1" t="s">
        <v>97</v>
      </c>
      <c r="F190" s="1" t="s">
        <v>91</v>
      </c>
      <c r="G190" s="1" t="s">
        <v>116</v>
      </c>
      <c r="H190" s="1" t="s">
        <v>76</v>
      </c>
      <c r="I190" s="31">
        <v>6</v>
      </c>
      <c r="J190" s="32">
        <v>14.99</v>
      </c>
      <c r="K190" s="32">
        <v>89.94</v>
      </c>
      <c r="L190" s="32">
        <v>46.77</v>
      </c>
      <c r="M190" s="32">
        <v>43.17</v>
      </c>
      <c r="N190" s="1" t="s">
        <v>86</v>
      </c>
      <c r="O190" s="1" t="s">
        <v>118</v>
      </c>
    </row>
    <row r="191" spans="1:15" ht="18.95" customHeight="1" x14ac:dyDescent="0.25">
      <c r="A191" s="1" t="s">
        <v>459</v>
      </c>
      <c r="B191" s="30">
        <v>45456.5</v>
      </c>
      <c r="C191" s="1" t="s">
        <v>102</v>
      </c>
      <c r="D191" s="1" t="s">
        <v>103</v>
      </c>
      <c r="E191" s="1" t="s">
        <v>104</v>
      </c>
      <c r="F191" s="1" t="s">
        <v>105</v>
      </c>
      <c r="G191" s="1" t="s">
        <v>322</v>
      </c>
      <c r="H191" s="1" t="s">
        <v>128</v>
      </c>
      <c r="I191" s="31">
        <v>3</v>
      </c>
      <c r="J191" s="32">
        <v>59.99</v>
      </c>
      <c r="K191" s="32">
        <v>179.97</v>
      </c>
      <c r="L191" s="32">
        <v>123.28</v>
      </c>
      <c r="M191" s="32">
        <v>56.69</v>
      </c>
      <c r="N191" s="1" t="s">
        <v>117</v>
      </c>
      <c r="O191" s="1" t="s">
        <v>78</v>
      </c>
    </row>
    <row r="192" spans="1:15" ht="18.95" customHeight="1" x14ac:dyDescent="0.25">
      <c r="A192" s="1" t="s">
        <v>460</v>
      </c>
      <c r="B192" s="30">
        <v>45456.5</v>
      </c>
      <c r="C192" s="1" t="s">
        <v>407</v>
      </c>
      <c r="D192" s="1" t="s">
        <v>408</v>
      </c>
      <c r="E192" s="1" t="s">
        <v>97</v>
      </c>
      <c r="F192" s="1" t="s">
        <v>91</v>
      </c>
      <c r="G192" s="1" t="s">
        <v>151</v>
      </c>
      <c r="H192" s="1" t="s">
        <v>76</v>
      </c>
      <c r="I192" s="31">
        <v>2</v>
      </c>
      <c r="J192" s="32">
        <v>18.989999999999998</v>
      </c>
      <c r="K192" s="32">
        <v>37.979999999999997</v>
      </c>
      <c r="L192" s="32">
        <v>19.37</v>
      </c>
      <c r="M192" s="32">
        <v>18.61</v>
      </c>
      <c r="N192" s="1" t="s">
        <v>111</v>
      </c>
      <c r="O192" s="1" t="s">
        <v>112</v>
      </c>
    </row>
    <row r="193" spans="1:15" ht="18.95" customHeight="1" x14ac:dyDescent="0.25">
      <c r="A193" s="1" t="s">
        <v>461</v>
      </c>
      <c r="B193" s="30">
        <v>45456.5</v>
      </c>
      <c r="C193" s="1" t="s">
        <v>462</v>
      </c>
      <c r="D193" s="1" t="s">
        <v>463</v>
      </c>
      <c r="E193" s="1" t="s">
        <v>125</v>
      </c>
      <c r="F193" s="1" t="s">
        <v>126</v>
      </c>
      <c r="G193" s="1" t="s">
        <v>230</v>
      </c>
      <c r="H193" s="1" t="s">
        <v>128</v>
      </c>
      <c r="I193" s="31">
        <v>4</v>
      </c>
      <c r="J193" s="32">
        <v>40.49</v>
      </c>
      <c r="K193" s="32">
        <v>161.96</v>
      </c>
      <c r="L193" s="32">
        <v>117.33</v>
      </c>
      <c r="M193" s="32">
        <v>44.63</v>
      </c>
      <c r="N193" s="1" t="s">
        <v>315</v>
      </c>
      <c r="O193" s="1" t="s">
        <v>112</v>
      </c>
    </row>
    <row r="194" spans="1:15" ht="18.95" customHeight="1" x14ac:dyDescent="0.25">
      <c r="A194" s="1" t="s">
        <v>464</v>
      </c>
      <c r="B194" s="30">
        <v>45456.5</v>
      </c>
      <c r="C194" s="1" t="s">
        <v>221</v>
      </c>
      <c r="D194" s="1" t="s">
        <v>222</v>
      </c>
      <c r="E194" s="1" t="s">
        <v>183</v>
      </c>
      <c r="F194" s="1" t="s">
        <v>137</v>
      </c>
      <c r="G194" s="1" t="s">
        <v>322</v>
      </c>
      <c r="H194" s="1" t="s">
        <v>128</v>
      </c>
      <c r="I194" s="31">
        <v>2</v>
      </c>
      <c r="J194" s="32">
        <v>59.99</v>
      </c>
      <c r="K194" s="32">
        <v>119.98</v>
      </c>
      <c r="L194" s="32">
        <v>85.19</v>
      </c>
      <c r="M194" s="32">
        <v>34.79</v>
      </c>
      <c r="N194" s="1" t="s">
        <v>86</v>
      </c>
      <c r="O194" s="1" t="s">
        <v>112</v>
      </c>
    </row>
    <row r="195" spans="1:15" ht="18.95" customHeight="1" x14ac:dyDescent="0.25">
      <c r="A195" s="1" t="s">
        <v>465</v>
      </c>
      <c r="B195" s="30">
        <v>45457.5</v>
      </c>
      <c r="C195" s="1" t="s">
        <v>228</v>
      </c>
      <c r="D195" s="1" t="s">
        <v>229</v>
      </c>
      <c r="E195" s="1" t="s">
        <v>212</v>
      </c>
      <c r="F195" s="1" t="s">
        <v>83</v>
      </c>
      <c r="G195" s="1" t="s">
        <v>138</v>
      </c>
      <c r="H195" s="1" t="s">
        <v>99</v>
      </c>
      <c r="I195" s="31">
        <v>2</v>
      </c>
      <c r="J195" s="32">
        <v>33.24</v>
      </c>
      <c r="K195" s="32">
        <v>66.48</v>
      </c>
      <c r="L195" s="32">
        <v>43.54</v>
      </c>
      <c r="M195" s="32">
        <v>22.94</v>
      </c>
      <c r="N195" s="1" t="s">
        <v>77</v>
      </c>
      <c r="O195" s="1" t="s">
        <v>78</v>
      </c>
    </row>
    <row r="196" spans="1:15" ht="18.95" customHeight="1" x14ac:dyDescent="0.25">
      <c r="A196" s="1" t="s">
        <v>466</v>
      </c>
      <c r="B196" s="30">
        <v>45459.5</v>
      </c>
      <c r="C196" s="1" t="s">
        <v>467</v>
      </c>
      <c r="D196" s="1" t="s">
        <v>468</v>
      </c>
      <c r="E196" s="1" t="s">
        <v>90</v>
      </c>
      <c r="F196" s="1" t="s">
        <v>91</v>
      </c>
      <c r="G196" s="1" t="s">
        <v>127</v>
      </c>
      <c r="H196" s="1" t="s">
        <v>128</v>
      </c>
      <c r="I196" s="31">
        <v>1</v>
      </c>
      <c r="J196" s="32">
        <v>21.24</v>
      </c>
      <c r="K196" s="32">
        <v>21.24</v>
      </c>
      <c r="L196" s="32">
        <v>14.91</v>
      </c>
      <c r="M196" s="32">
        <v>6.33</v>
      </c>
      <c r="N196" s="1" t="s">
        <v>111</v>
      </c>
      <c r="O196" s="1" t="s">
        <v>78</v>
      </c>
    </row>
    <row r="197" spans="1:15" ht="18.95" customHeight="1" x14ac:dyDescent="0.25">
      <c r="A197" s="1" t="s">
        <v>469</v>
      </c>
      <c r="B197" s="30">
        <v>45461.5</v>
      </c>
      <c r="C197" s="1" t="s">
        <v>141</v>
      </c>
      <c r="D197" s="1" t="s">
        <v>142</v>
      </c>
      <c r="E197" s="1" t="s">
        <v>82</v>
      </c>
      <c r="F197" s="1" t="s">
        <v>83</v>
      </c>
      <c r="G197" s="1" t="s">
        <v>98</v>
      </c>
      <c r="H197" s="1" t="s">
        <v>99</v>
      </c>
      <c r="I197" s="31">
        <v>1</v>
      </c>
      <c r="J197" s="32">
        <v>29.99</v>
      </c>
      <c r="K197" s="32">
        <v>29.99</v>
      </c>
      <c r="L197" s="32">
        <v>16.34</v>
      </c>
      <c r="M197" s="32">
        <v>13.65</v>
      </c>
      <c r="N197" s="1" t="s">
        <v>86</v>
      </c>
      <c r="O197" s="1" t="s">
        <v>78</v>
      </c>
    </row>
    <row r="198" spans="1:15" ht="18.95" customHeight="1" x14ac:dyDescent="0.25">
      <c r="A198" s="1" t="s">
        <v>470</v>
      </c>
      <c r="B198" s="30">
        <v>45462.5</v>
      </c>
      <c r="C198" s="1" t="s">
        <v>130</v>
      </c>
      <c r="D198" s="1" t="s">
        <v>131</v>
      </c>
      <c r="E198" s="1" t="s">
        <v>82</v>
      </c>
      <c r="F198" s="1" t="s">
        <v>83</v>
      </c>
      <c r="G198" s="1" t="s">
        <v>189</v>
      </c>
      <c r="H198" s="1" t="s">
        <v>93</v>
      </c>
      <c r="I198" s="31">
        <v>2</v>
      </c>
      <c r="J198" s="32">
        <v>44.99</v>
      </c>
      <c r="K198" s="32">
        <v>89.98</v>
      </c>
      <c r="L198" s="32">
        <v>53.54</v>
      </c>
      <c r="M198" s="32">
        <v>36.44</v>
      </c>
      <c r="N198" s="1" t="s">
        <v>86</v>
      </c>
      <c r="O198" s="1" t="s">
        <v>78</v>
      </c>
    </row>
    <row r="199" spans="1:15" ht="18.95" customHeight="1" x14ac:dyDescent="0.25">
      <c r="A199" s="1" t="s">
        <v>470</v>
      </c>
      <c r="B199" s="30">
        <v>45462.5</v>
      </c>
      <c r="C199" s="1" t="s">
        <v>130</v>
      </c>
      <c r="D199" s="1" t="s">
        <v>131</v>
      </c>
      <c r="E199" s="1" t="s">
        <v>82</v>
      </c>
      <c r="F199" s="1" t="s">
        <v>83</v>
      </c>
      <c r="G199" s="1" t="s">
        <v>151</v>
      </c>
      <c r="H199" s="1" t="s">
        <v>76</v>
      </c>
      <c r="I199" s="31">
        <v>1</v>
      </c>
      <c r="J199" s="32">
        <v>18.989999999999998</v>
      </c>
      <c r="K199" s="32">
        <v>18.989999999999998</v>
      </c>
      <c r="L199" s="32">
        <v>9.2100000000000009</v>
      </c>
      <c r="M199" s="32">
        <v>9.7799999999999994</v>
      </c>
      <c r="N199" s="1" t="s">
        <v>86</v>
      </c>
      <c r="O199" s="1" t="s">
        <v>78</v>
      </c>
    </row>
    <row r="200" spans="1:15" ht="18.95" customHeight="1" x14ac:dyDescent="0.25">
      <c r="A200" s="1" t="s">
        <v>471</v>
      </c>
      <c r="B200" s="30">
        <v>45464.5</v>
      </c>
      <c r="C200" s="1" t="s">
        <v>210</v>
      </c>
      <c r="D200" s="1" t="s">
        <v>211</v>
      </c>
      <c r="E200" s="1" t="s">
        <v>212</v>
      </c>
      <c r="F200" s="1" t="s">
        <v>83</v>
      </c>
      <c r="G200" s="1" t="s">
        <v>139</v>
      </c>
      <c r="H200" s="1" t="s">
        <v>128</v>
      </c>
      <c r="I200" s="31">
        <v>1</v>
      </c>
      <c r="J200" s="32">
        <v>69.989999999999995</v>
      </c>
      <c r="K200" s="32">
        <v>69.989999999999995</v>
      </c>
      <c r="L200" s="32">
        <v>46.54</v>
      </c>
      <c r="M200" s="32">
        <v>23.45</v>
      </c>
      <c r="N200" s="1" t="s">
        <v>86</v>
      </c>
      <c r="O200" s="1" t="s">
        <v>78</v>
      </c>
    </row>
    <row r="201" spans="1:15" ht="18.95" customHeight="1" x14ac:dyDescent="0.25">
      <c r="A201" s="1" t="s">
        <v>472</v>
      </c>
      <c r="B201" s="30">
        <v>45467.5</v>
      </c>
      <c r="C201" s="1" t="s">
        <v>153</v>
      </c>
      <c r="D201" s="1" t="s">
        <v>154</v>
      </c>
      <c r="E201" s="1" t="s">
        <v>97</v>
      </c>
      <c r="F201" s="1" t="s">
        <v>91</v>
      </c>
      <c r="G201" s="1" t="s">
        <v>322</v>
      </c>
      <c r="H201" s="1" t="s">
        <v>128</v>
      </c>
      <c r="I201" s="31">
        <v>1</v>
      </c>
      <c r="J201" s="32">
        <v>56.99</v>
      </c>
      <c r="K201" s="32">
        <v>56.99</v>
      </c>
      <c r="L201" s="32">
        <v>40.93</v>
      </c>
      <c r="M201" s="32">
        <v>16.059999999999999</v>
      </c>
      <c r="N201" s="1" t="s">
        <v>86</v>
      </c>
      <c r="O201" s="1" t="s">
        <v>78</v>
      </c>
    </row>
    <row r="202" spans="1:15" ht="18.95" customHeight="1" x14ac:dyDescent="0.25">
      <c r="A202" s="1" t="s">
        <v>473</v>
      </c>
      <c r="B202" s="30">
        <v>45468.5</v>
      </c>
      <c r="C202" s="1" t="s">
        <v>159</v>
      </c>
      <c r="D202" s="1" t="s">
        <v>160</v>
      </c>
      <c r="E202" s="1" t="s">
        <v>150</v>
      </c>
      <c r="F202" s="1" t="s">
        <v>105</v>
      </c>
      <c r="G202" s="1" t="s">
        <v>139</v>
      </c>
      <c r="H202" s="1" t="s">
        <v>128</v>
      </c>
      <c r="I202" s="31">
        <v>1</v>
      </c>
      <c r="J202" s="32">
        <v>69.989999999999995</v>
      </c>
      <c r="K202" s="32">
        <v>69.989999999999995</v>
      </c>
      <c r="L202" s="32">
        <v>47.24</v>
      </c>
      <c r="M202" s="32">
        <v>22.75</v>
      </c>
      <c r="N202" s="1" t="s">
        <v>279</v>
      </c>
      <c r="O202" s="1" t="s">
        <v>233</v>
      </c>
    </row>
    <row r="203" spans="1:15" ht="18.95" customHeight="1" x14ac:dyDescent="0.25">
      <c r="A203" s="1" t="s">
        <v>474</v>
      </c>
      <c r="B203" s="30">
        <v>45469.5</v>
      </c>
      <c r="C203" s="1" t="s">
        <v>450</v>
      </c>
      <c r="D203" s="1" t="s">
        <v>451</v>
      </c>
      <c r="E203" s="1" t="s">
        <v>183</v>
      </c>
      <c r="F203" s="1" t="s">
        <v>137</v>
      </c>
      <c r="G203" s="1" t="s">
        <v>319</v>
      </c>
      <c r="H203" s="1" t="s">
        <v>128</v>
      </c>
      <c r="I203" s="31">
        <v>2</v>
      </c>
      <c r="J203" s="32">
        <v>54.99</v>
      </c>
      <c r="K203" s="32">
        <v>109.98</v>
      </c>
      <c r="L203" s="32">
        <v>79.19</v>
      </c>
      <c r="M203" s="32">
        <v>30.79</v>
      </c>
      <c r="N203" s="1" t="s">
        <v>111</v>
      </c>
      <c r="O203" s="1" t="s">
        <v>118</v>
      </c>
    </row>
    <row r="204" spans="1:15" ht="18.95" customHeight="1" x14ac:dyDescent="0.25">
      <c r="A204" s="1" t="s">
        <v>474</v>
      </c>
      <c r="B204" s="30">
        <v>45469.5</v>
      </c>
      <c r="C204" s="1" t="s">
        <v>450</v>
      </c>
      <c r="D204" s="1" t="s">
        <v>451</v>
      </c>
      <c r="E204" s="1" t="s">
        <v>183</v>
      </c>
      <c r="F204" s="1" t="s">
        <v>137</v>
      </c>
      <c r="G204" s="1" t="s">
        <v>138</v>
      </c>
      <c r="H204" s="1" t="s">
        <v>99</v>
      </c>
      <c r="I204" s="31">
        <v>3</v>
      </c>
      <c r="J204" s="32">
        <v>34.99</v>
      </c>
      <c r="K204" s="32">
        <v>104.97</v>
      </c>
      <c r="L204" s="32">
        <v>72.430000000000007</v>
      </c>
      <c r="M204" s="32">
        <v>32.54</v>
      </c>
      <c r="N204" s="1" t="s">
        <v>111</v>
      </c>
      <c r="O204" s="1" t="s">
        <v>118</v>
      </c>
    </row>
    <row r="205" spans="1:15" ht="18.95" customHeight="1" x14ac:dyDescent="0.25">
      <c r="A205" s="1" t="s">
        <v>474</v>
      </c>
      <c r="B205" s="30">
        <v>45469.5</v>
      </c>
      <c r="C205" s="1" t="s">
        <v>450</v>
      </c>
      <c r="D205" s="1" t="s">
        <v>451</v>
      </c>
      <c r="E205" s="1" t="s">
        <v>183</v>
      </c>
      <c r="F205" s="1" t="s">
        <v>137</v>
      </c>
      <c r="G205" s="1" t="s">
        <v>226</v>
      </c>
      <c r="H205" s="1" t="s">
        <v>85</v>
      </c>
      <c r="I205" s="31">
        <v>1</v>
      </c>
      <c r="J205" s="32">
        <v>74.989999999999995</v>
      </c>
      <c r="K205" s="32">
        <v>74.989999999999995</v>
      </c>
      <c r="L205" s="32">
        <v>55.49</v>
      </c>
      <c r="M205" s="32">
        <v>19.5</v>
      </c>
      <c r="N205" s="1" t="s">
        <v>111</v>
      </c>
      <c r="O205" s="1" t="s">
        <v>118</v>
      </c>
    </row>
    <row r="206" spans="1:15" ht="18.95" customHeight="1" x14ac:dyDescent="0.25">
      <c r="A206" s="1" t="s">
        <v>475</v>
      </c>
      <c r="B206" s="30">
        <v>45470.5</v>
      </c>
      <c r="C206" s="1" t="s">
        <v>467</v>
      </c>
      <c r="D206" s="1" t="s">
        <v>468</v>
      </c>
      <c r="E206" s="1" t="s">
        <v>90</v>
      </c>
      <c r="F206" s="1" t="s">
        <v>91</v>
      </c>
      <c r="G206" s="1" t="s">
        <v>188</v>
      </c>
      <c r="H206" s="1" t="s">
        <v>76</v>
      </c>
      <c r="I206" s="31">
        <v>2</v>
      </c>
      <c r="J206" s="32">
        <v>84.99</v>
      </c>
      <c r="K206" s="32">
        <v>169.98</v>
      </c>
      <c r="L206" s="32">
        <v>130.88</v>
      </c>
      <c r="M206" s="32">
        <v>39.1</v>
      </c>
      <c r="N206" s="1" t="s">
        <v>117</v>
      </c>
      <c r="O206" s="1" t="s">
        <v>118</v>
      </c>
    </row>
    <row r="207" spans="1:15" ht="18.95" customHeight="1" x14ac:dyDescent="0.25">
      <c r="A207" s="1" t="s">
        <v>476</v>
      </c>
      <c r="B207" s="30">
        <v>45470.5</v>
      </c>
      <c r="C207" s="1" t="s">
        <v>285</v>
      </c>
      <c r="D207" s="1" t="s">
        <v>286</v>
      </c>
      <c r="E207" s="1" t="s">
        <v>82</v>
      </c>
      <c r="F207" s="1" t="s">
        <v>83</v>
      </c>
      <c r="G207" s="1" t="s">
        <v>84</v>
      </c>
      <c r="H207" s="1" t="s">
        <v>85</v>
      </c>
      <c r="I207" s="31">
        <v>1</v>
      </c>
      <c r="J207" s="32">
        <v>8.99</v>
      </c>
      <c r="K207" s="32">
        <v>8.99</v>
      </c>
      <c r="L207" s="32">
        <v>4</v>
      </c>
      <c r="M207" s="32">
        <v>4.99</v>
      </c>
      <c r="N207" s="1" t="s">
        <v>77</v>
      </c>
      <c r="O207" s="1" t="s">
        <v>78</v>
      </c>
    </row>
    <row r="208" spans="1:15" ht="18.95" customHeight="1" x14ac:dyDescent="0.25">
      <c r="A208" s="1" t="s">
        <v>477</v>
      </c>
      <c r="B208" s="30">
        <v>45475.5</v>
      </c>
      <c r="C208" s="1" t="s">
        <v>341</v>
      </c>
      <c r="D208" s="1" t="s">
        <v>342</v>
      </c>
      <c r="E208" s="1" t="s">
        <v>212</v>
      </c>
      <c r="F208" s="1" t="s">
        <v>83</v>
      </c>
      <c r="G208" s="1" t="s">
        <v>143</v>
      </c>
      <c r="H208" s="1" t="s">
        <v>128</v>
      </c>
      <c r="I208" s="31">
        <v>2</v>
      </c>
      <c r="J208" s="32">
        <v>94.99</v>
      </c>
      <c r="K208" s="32">
        <v>189.98</v>
      </c>
      <c r="L208" s="32">
        <v>147.22999999999999</v>
      </c>
      <c r="M208" s="32">
        <v>42.75</v>
      </c>
      <c r="N208" s="1" t="s">
        <v>77</v>
      </c>
      <c r="O208" s="1" t="s">
        <v>78</v>
      </c>
    </row>
    <row r="209" spans="1:15" ht="18.95" customHeight="1" x14ac:dyDescent="0.25">
      <c r="A209" s="1" t="s">
        <v>477</v>
      </c>
      <c r="B209" s="30">
        <v>45475.5</v>
      </c>
      <c r="C209" s="1" t="s">
        <v>341</v>
      </c>
      <c r="D209" s="1" t="s">
        <v>342</v>
      </c>
      <c r="E209" s="1" t="s">
        <v>212</v>
      </c>
      <c r="F209" s="1" t="s">
        <v>83</v>
      </c>
      <c r="G209" s="1" t="s">
        <v>110</v>
      </c>
      <c r="H209" s="1" t="s">
        <v>85</v>
      </c>
      <c r="I209" s="31">
        <v>3</v>
      </c>
      <c r="J209" s="32">
        <v>12.99</v>
      </c>
      <c r="K209" s="32">
        <v>38.97</v>
      </c>
      <c r="L209" s="32">
        <v>18.510000000000002</v>
      </c>
      <c r="M209" s="32">
        <v>20.46</v>
      </c>
      <c r="N209" s="1" t="s">
        <v>77</v>
      </c>
      <c r="O209" s="1" t="s">
        <v>78</v>
      </c>
    </row>
    <row r="210" spans="1:15" ht="18.95" customHeight="1" x14ac:dyDescent="0.25">
      <c r="A210" s="1" t="s">
        <v>478</v>
      </c>
      <c r="B210" s="30">
        <v>45476.5</v>
      </c>
      <c r="C210" s="1" t="s">
        <v>479</v>
      </c>
      <c r="D210" s="1" t="s">
        <v>480</v>
      </c>
      <c r="E210" s="1" t="s">
        <v>74</v>
      </c>
      <c r="F210" s="1" t="s">
        <v>74</v>
      </c>
      <c r="G210" s="1" t="s">
        <v>84</v>
      </c>
      <c r="H210" s="1" t="s">
        <v>85</v>
      </c>
      <c r="I210" s="31">
        <v>1</v>
      </c>
      <c r="J210" s="32">
        <v>8.99</v>
      </c>
      <c r="K210" s="32">
        <v>8.99</v>
      </c>
      <c r="L210" s="32">
        <v>4.2300000000000004</v>
      </c>
      <c r="M210" s="32">
        <v>4.76</v>
      </c>
      <c r="N210" s="1" t="s">
        <v>111</v>
      </c>
      <c r="O210" s="1" t="s">
        <v>112</v>
      </c>
    </row>
    <row r="211" spans="1:15" ht="18.95" customHeight="1" x14ac:dyDescent="0.25">
      <c r="A211" s="1" t="s">
        <v>478</v>
      </c>
      <c r="B211" s="30">
        <v>45476.5</v>
      </c>
      <c r="C211" s="1" t="s">
        <v>479</v>
      </c>
      <c r="D211" s="1" t="s">
        <v>480</v>
      </c>
      <c r="E211" s="1" t="s">
        <v>74</v>
      </c>
      <c r="F211" s="1" t="s">
        <v>74</v>
      </c>
      <c r="G211" s="1" t="s">
        <v>92</v>
      </c>
      <c r="H211" s="1" t="s">
        <v>93</v>
      </c>
      <c r="I211" s="31">
        <v>2</v>
      </c>
      <c r="J211" s="32">
        <v>69.989999999999995</v>
      </c>
      <c r="K211" s="32">
        <v>139.97999999999999</v>
      </c>
      <c r="L211" s="32">
        <v>96.59</v>
      </c>
      <c r="M211" s="32">
        <v>43.39</v>
      </c>
      <c r="N211" s="1" t="s">
        <v>111</v>
      </c>
      <c r="O211" s="1" t="s">
        <v>112</v>
      </c>
    </row>
    <row r="212" spans="1:15" ht="18.95" customHeight="1" x14ac:dyDescent="0.25">
      <c r="A212" s="1" t="s">
        <v>481</v>
      </c>
      <c r="B212" s="30">
        <v>45480.5</v>
      </c>
      <c r="C212" s="1" t="s">
        <v>467</v>
      </c>
      <c r="D212" s="1" t="s">
        <v>468</v>
      </c>
      <c r="E212" s="1" t="s">
        <v>90</v>
      </c>
      <c r="F212" s="1" t="s">
        <v>91</v>
      </c>
      <c r="G212" s="1" t="s">
        <v>322</v>
      </c>
      <c r="H212" s="1" t="s">
        <v>128</v>
      </c>
      <c r="I212" s="31">
        <v>2</v>
      </c>
      <c r="J212" s="32">
        <v>53.99</v>
      </c>
      <c r="K212" s="32">
        <v>107.98</v>
      </c>
      <c r="L212" s="32">
        <v>81.53</v>
      </c>
      <c r="M212" s="32">
        <v>26.45</v>
      </c>
      <c r="N212" s="1" t="s">
        <v>86</v>
      </c>
      <c r="O212" s="1" t="s">
        <v>78</v>
      </c>
    </row>
    <row r="213" spans="1:15" ht="18.95" customHeight="1" x14ac:dyDescent="0.25">
      <c r="A213" s="1" t="s">
        <v>482</v>
      </c>
      <c r="B213" s="30">
        <v>45485.5</v>
      </c>
      <c r="C213" s="1" t="s">
        <v>245</v>
      </c>
      <c r="D213" s="1" t="s">
        <v>246</v>
      </c>
      <c r="E213" s="1" t="s">
        <v>104</v>
      </c>
      <c r="F213" s="1" t="s">
        <v>105</v>
      </c>
      <c r="G213" s="1" t="s">
        <v>75</v>
      </c>
      <c r="H213" s="1" t="s">
        <v>76</v>
      </c>
      <c r="I213" s="31">
        <v>1</v>
      </c>
      <c r="J213" s="32">
        <v>22.94</v>
      </c>
      <c r="K213" s="32">
        <v>22.94</v>
      </c>
      <c r="L213" s="32">
        <v>14.22</v>
      </c>
      <c r="M213" s="32">
        <v>8.7200000000000006</v>
      </c>
      <c r="N213" s="1" t="s">
        <v>117</v>
      </c>
      <c r="O213" s="1" t="s">
        <v>78</v>
      </c>
    </row>
    <row r="214" spans="1:15" ht="18.95" customHeight="1" x14ac:dyDescent="0.25">
      <c r="A214" s="1" t="s">
        <v>482</v>
      </c>
      <c r="B214" s="30">
        <v>45485.5</v>
      </c>
      <c r="C214" s="1" t="s">
        <v>245</v>
      </c>
      <c r="D214" s="1" t="s">
        <v>246</v>
      </c>
      <c r="E214" s="1" t="s">
        <v>104</v>
      </c>
      <c r="F214" s="1" t="s">
        <v>105</v>
      </c>
      <c r="G214" s="1" t="s">
        <v>92</v>
      </c>
      <c r="H214" s="1" t="s">
        <v>93</v>
      </c>
      <c r="I214" s="31">
        <v>2</v>
      </c>
      <c r="J214" s="32">
        <v>66.489999999999995</v>
      </c>
      <c r="K214" s="32">
        <v>132.97999999999999</v>
      </c>
      <c r="L214" s="32">
        <v>92.7</v>
      </c>
      <c r="M214" s="32">
        <v>40.28</v>
      </c>
      <c r="N214" s="1" t="s">
        <v>117</v>
      </c>
      <c r="O214" s="1" t="s">
        <v>78</v>
      </c>
    </row>
    <row r="215" spans="1:15" ht="18.95" customHeight="1" x14ac:dyDescent="0.25">
      <c r="A215" s="1" t="s">
        <v>483</v>
      </c>
      <c r="B215" s="30">
        <v>45485.5</v>
      </c>
      <c r="C215" s="1" t="s">
        <v>484</v>
      </c>
      <c r="D215" s="1" t="s">
        <v>485</v>
      </c>
      <c r="E215" s="1" t="s">
        <v>174</v>
      </c>
      <c r="F215" s="1" t="s">
        <v>175</v>
      </c>
      <c r="G215" s="1" t="s">
        <v>230</v>
      </c>
      <c r="H215" s="1" t="s">
        <v>128</v>
      </c>
      <c r="I215" s="31">
        <v>1</v>
      </c>
      <c r="J215" s="32">
        <v>44.99</v>
      </c>
      <c r="K215" s="32">
        <v>44.99</v>
      </c>
      <c r="L215" s="32">
        <v>28.57</v>
      </c>
      <c r="M215" s="32">
        <v>16.420000000000002</v>
      </c>
      <c r="N215" s="1" t="s">
        <v>77</v>
      </c>
      <c r="O215" s="1" t="s">
        <v>78</v>
      </c>
    </row>
    <row r="216" spans="1:15" ht="18.95" customHeight="1" x14ac:dyDescent="0.25">
      <c r="A216" s="1" t="s">
        <v>483</v>
      </c>
      <c r="B216" s="30">
        <v>45485.5</v>
      </c>
      <c r="C216" s="1" t="s">
        <v>484</v>
      </c>
      <c r="D216" s="1" t="s">
        <v>485</v>
      </c>
      <c r="E216" s="1" t="s">
        <v>174</v>
      </c>
      <c r="F216" s="1" t="s">
        <v>175</v>
      </c>
      <c r="G216" s="1" t="s">
        <v>106</v>
      </c>
      <c r="H216" s="1" t="s">
        <v>99</v>
      </c>
      <c r="I216" s="31">
        <v>2</v>
      </c>
      <c r="J216" s="32">
        <v>75.989999999999995</v>
      </c>
      <c r="K216" s="32">
        <v>151.97999999999999</v>
      </c>
      <c r="L216" s="32">
        <v>110.75</v>
      </c>
      <c r="M216" s="32">
        <v>41.23</v>
      </c>
      <c r="N216" s="1" t="s">
        <v>77</v>
      </c>
      <c r="O216" s="1" t="s">
        <v>78</v>
      </c>
    </row>
    <row r="217" spans="1:15" ht="18.95" customHeight="1" x14ac:dyDescent="0.25">
      <c r="A217" s="1" t="s">
        <v>483</v>
      </c>
      <c r="B217" s="30">
        <v>45485.5</v>
      </c>
      <c r="C217" s="1" t="s">
        <v>484</v>
      </c>
      <c r="D217" s="1" t="s">
        <v>485</v>
      </c>
      <c r="E217" s="1" t="s">
        <v>174</v>
      </c>
      <c r="F217" s="1" t="s">
        <v>175</v>
      </c>
      <c r="G217" s="1" t="s">
        <v>202</v>
      </c>
      <c r="H217" s="1" t="s">
        <v>85</v>
      </c>
      <c r="I217" s="31">
        <v>1</v>
      </c>
      <c r="J217" s="32">
        <v>7.99</v>
      </c>
      <c r="K217" s="32">
        <v>7.99</v>
      </c>
      <c r="L217" s="32">
        <v>4.2699999999999996</v>
      </c>
      <c r="M217" s="32">
        <v>3.72</v>
      </c>
      <c r="N217" s="1" t="s">
        <v>77</v>
      </c>
      <c r="O217" s="1" t="s">
        <v>78</v>
      </c>
    </row>
    <row r="218" spans="1:15" ht="18.95" customHeight="1" x14ac:dyDescent="0.25">
      <c r="A218" s="1" t="s">
        <v>486</v>
      </c>
      <c r="B218" s="30">
        <v>45489.5</v>
      </c>
      <c r="C218" s="1" t="s">
        <v>153</v>
      </c>
      <c r="D218" s="1" t="s">
        <v>154</v>
      </c>
      <c r="E218" s="1" t="s">
        <v>97</v>
      </c>
      <c r="F218" s="1" t="s">
        <v>91</v>
      </c>
      <c r="G218" s="1" t="s">
        <v>98</v>
      </c>
      <c r="H218" s="1" t="s">
        <v>99</v>
      </c>
      <c r="I218" s="31">
        <v>1</v>
      </c>
      <c r="J218" s="32">
        <v>29.99</v>
      </c>
      <c r="K218" s="32">
        <v>29.99</v>
      </c>
      <c r="L218" s="32">
        <v>17.09</v>
      </c>
      <c r="M218" s="32">
        <v>12.9</v>
      </c>
      <c r="N218" s="1" t="s">
        <v>111</v>
      </c>
      <c r="O218" s="1" t="s">
        <v>112</v>
      </c>
    </row>
    <row r="219" spans="1:15" ht="18.95" customHeight="1" x14ac:dyDescent="0.25">
      <c r="A219" s="1" t="s">
        <v>486</v>
      </c>
      <c r="B219" s="30">
        <v>45489.5</v>
      </c>
      <c r="C219" s="1" t="s">
        <v>153</v>
      </c>
      <c r="D219" s="1" t="s">
        <v>154</v>
      </c>
      <c r="E219" s="1" t="s">
        <v>97</v>
      </c>
      <c r="F219" s="1" t="s">
        <v>91</v>
      </c>
      <c r="G219" s="1" t="s">
        <v>259</v>
      </c>
      <c r="H219" s="1" t="s">
        <v>85</v>
      </c>
      <c r="I219" s="31">
        <v>2</v>
      </c>
      <c r="J219" s="32">
        <v>199.99</v>
      </c>
      <c r="K219" s="32">
        <v>399.98</v>
      </c>
      <c r="L219" s="32">
        <v>327.98</v>
      </c>
      <c r="M219" s="32">
        <v>72</v>
      </c>
      <c r="N219" s="1" t="s">
        <v>111</v>
      </c>
      <c r="O219" s="1" t="s">
        <v>112</v>
      </c>
    </row>
    <row r="220" spans="1:15" ht="18.95" customHeight="1" x14ac:dyDescent="0.25">
      <c r="A220" s="1" t="s">
        <v>487</v>
      </c>
      <c r="B220" s="30">
        <v>45492.5</v>
      </c>
      <c r="C220" s="1" t="s">
        <v>462</v>
      </c>
      <c r="D220" s="1" t="s">
        <v>463</v>
      </c>
      <c r="E220" s="1" t="s">
        <v>125</v>
      </c>
      <c r="F220" s="1" t="s">
        <v>126</v>
      </c>
      <c r="G220" s="1" t="s">
        <v>127</v>
      </c>
      <c r="H220" s="1" t="s">
        <v>128</v>
      </c>
      <c r="I220" s="31">
        <v>1</v>
      </c>
      <c r="J220" s="32">
        <v>24.99</v>
      </c>
      <c r="K220" s="32">
        <v>24.99</v>
      </c>
      <c r="L220" s="32">
        <v>15.74</v>
      </c>
      <c r="M220" s="32">
        <v>9.25</v>
      </c>
      <c r="N220" s="1" t="s">
        <v>86</v>
      </c>
      <c r="O220" s="1" t="s">
        <v>112</v>
      </c>
    </row>
    <row r="221" spans="1:15" ht="18.95" customHeight="1" x14ac:dyDescent="0.25">
      <c r="A221" s="1" t="s">
        <v>488</v>
      </c>
      <c r="B221" s="30">
        <v>45492.5</v>
      </c>
      <c r="C221" s="1" t="s">
        <v>288</v>
      </c>
      <c r="D221" s="1" t="s">
        <v>289</v>
      </c>
      <c r="E221" s="1" t="s">
        <v>104</v>
      </c>
      <c r="F221" s="1" t="s">
        <v>105</v>
      </c>
      <c r="G221" s="1" t="s">
        <v>202</v>
      </c>
      <c r="H221" s="1" t="s">
        <v>85</v>
      </c>
      <c r="I221" s="31">
        <v>1</v>
      </c>
      <c r="J221" s="32">
        <v>7.19</v>
      </c>
      <c r="K221" s="32">
        <v>7.19</v>
      </c>
      <c r="L221" s="32">
        <v>4.2300000000000004</v>
      </c>
      <c r="M221" s="32">
        <v>2.96</v>
      </c>
      <c r="N221" s="1" t="s">
        <v>117</v>
      </c>
      <c r="O221" s="1" t="s">
        <v>78</v>
      </c>
    </row>
    <row r="222" spans="1:15" ht="18.95" customHeight="1" x14ac:dyDescent="0.25">
      <c r="A222" s="1" t="s">
        <v>488</v>
      </c>
      <c r="B222" s="30">
        <v>45492.5</v>
      </c>
      <c r="C222" s="1" t="s">
        <v>288</v>
      </c>
      <c r="D222" s="1" t="s">
        <v>289</v>
      </c>
      <c r="E222" s="1" t="s">
        <v>104</v>
      </c>
      <c r="F222" s="1" t="s">
        <v>105</v>
      </c>
      <c r="G222" s="1" t="s">
        <v>226</v>
      </c>
      <c r="H222" s="1" t="s">
        <v>85</v>
      </c>
      <c r="I222" s="31">
        <v>1</v>
      </c>
      <c r="J222" s="32">
        <v>74.989999999999995</v>
      </c>
      <c r="K222" s="32">
        <v>74.989999999999995</v>
      </c>
      <c r="L222" s="32">
        <v>50.62</v>
      </c>
      <c r="M222" s="32">
        <v>24.37</v>
      </c>
      <c r="N222" s="1" t="s">
        <v>117</v>
      </c>
      <c r="O222" s="1" t="s">
        <v>78</v>
      </c>
    </row>
    <row r="223" spans="1:15" ht="18.95" customHeight="1" x14ac:dyDescent="0.25">
      <c r="A223" s="1" t="s">
        <v>488</v>
      </c>
      <c r="B223" s="30">
        <v>45492.5</v>
      </c>
      <c r="C223" s="1" t="s">
        <v>288</v>
      </c>
      <c r="D223" s="1" t="s">
        <v>289</v>
      </c>
      <c r="E223" s="1" t="s">
        <v>104</v>
      </c>
      <c r="F223" s="1" t="s">
        <v>105</v>
      </c>
      <c r="G223" s="1" t="s">
        <v>189</v>
      </c>
      <c r="H223" s="1" t="s">
        <v>93</v>
      </c>
      <c r="I223" s="31">
        <v>1</v>
      </c>
      <c r="J223" s="32">
        <v>42.74</v>
      </c>
      <c r="K223" s="32">
        <v>42.74</v>
      </c>
      <c r="L223" s="32">
        <v>26.65</v>
      </c>
      <c r="M223" s="32">
        <v>16.09</v>
      </c>
      <c r="N223" s="1" t="s">
        <v>117</v>
      </c>
      <c r="O223" s="1" t="s">
        <v>78</v>
      </c>
    </row>
    <row r="224" spans="1:15" ht="18.95" customHeight="1" x14ac:dyDescent="0.25">
      <c r="A224" s="1" t="s">
        <v>489</v>
      </c>
      <c r="B224" s="30">
        <v>45495.5</v>
      </c>
      <c r="C224" s="1" t="s">
        <v>426</v>
      </c>
      <c r="D224" s="1" t="s">
        <v>427</v>
      </c>
      <c r="E224" s="1" t="s">
        <v>237</v>
      </c>
      <c r="F224" s="1" t="s">
        <v>238</v>
      </c>
      <c r="G224" s="1" t="s">
        <v>84</v>
      </c>
      <c r="H224" s="1" t="s">
        <v>85</v>
      </c>
      <c r="I224" s="31">
        <v>2</v>
      </c>
      <c r="J224" s="32">
        <v>8.09</v>
      </c>
      <c r="K224" s="32">
        <v>16.18</v>
      </c>
      <c r="L224" s="32">
        <v>8.31</v>
      </c>
      <c r="M224" s="32">
        <v>7.87</v>
      </c>
      <c r="N224" s="1" t="s">
        <v>86</v>
      </c>
      <c r="O224" s="1" t="s">
        <v>112</v>
      </c>
    </row>
    <row r="225" spans="1:15" ht="18.95" customHeight="1" x14ac:dyDescent="0.25">
      <c r="A225" s="1" t="s">
        <v>490</v>
      </c>
      <c r="B225" s="30">
        <v>45496.5</v>
      </c>
      <c r="C225" s="1" t="s">
        <v>134</v>
      </c>
      <c r="D225" s="1" t="s">
        <v>135</v>
      </c>
      <c r="E225" s="1" t="s">
        <v>136</v>
      </c>
      <c r="F225" s="1" t="s">
        <v>137</v>
      </c>
      <c r="G225" s="1" t="s">
        <v>157</v>
      </c>
      <c r="H225" s="1" t="s">
        <v>93</v>
      </c>
      <c r="I225" s="31">
        <v>1</v>
      </c>
      <c r="J225" s="32">
        <v>17.989999999999998</v>
      </c>
      <c r="K225" s="32">
        <v>17.989999999999998</v>
      </c>
      <c r="L225" s="32">
        <v>9.7899999999999991</v>
      </c>
      <c r="M225" s="32">
        <v>8.1999999999999993</v>
      </c>
      <c r="N225" s="1" t="s">
        <v>77</v>
      </c>
      <c r="O225" s="1" t="s">
        <v>78</v>
      </c>
    </row>
    <row r="226" spans="1:15" ht="18.95" customHeight="1" x14ac:dyDescent="0.25">
      <c r="A226" s="1" t="s">
        <v>491</v>
      </c>
      <c r="B226" s="30">
        <v>45496.5</v>
      </c>
      <c r="C226" s="1" t="s">
        <v>492</v>
      </c>
      <c r="D226" s="1" t="s">
        <v>493</v>
      </c>
      <c r="E226" s="1" t="s">
        <v>212</v>
      </c>
      <c r="F226" s="1" t="s">
        <v>83</v>
      </c>
      <c r="G226" s="1" t="s">
        <v>319</v>
      </c>
      <c r="H226" s="1" t="s">
        <v>128</v>
      </c>
      <c r="I226" s="31">
        <v>2</v>
      </c>
      <c r="J226" s="32">
        <v>54.99</v>
      </c>
      <c r="K226" s="32">
        <v>109.98</v>
      </c>
      <c r="L226" s="32">
        <v>79.19</v>
      </c>
      <c r="M226" s="32">
        <v>30.79</v>
      </c>
      <c r="N226" s="1" t="s">
        <v>77</v>
      </c>
      <c r="O226" s="1" t="s">
        <v>118</v>
      </c>
    </row>
    <row r="227" spans="1:15" ht="18.95" customHeight="1" x14ac:dyDescent="0.25">
      <c r="A227" s="1" t="s">
        <v>494</v>
      </c>
      <c r="B227" s="30">
        <v>45497.5</v>
      </c>
      <c r="C227" s="1" t="s">
        <v>130</v>
      </c>
      <c r="D227" s="1" t="s">
        <v>131</v>
      </c>
      <c r="E227" s="1" t="s">
        <v>82</v>
      </c>
      <c r="F227" s="1" t="s">
        <v>83</v>
      </c>
      <c r="G227" s="1" t="s">
        <v>155</v>
      </c>
      <c r="H227" s="1" t="s">
        <v>93</v>
      </c>
      <c r="I227" s="31">
        <v>2</v>
      </c>
      <c r="J227" s="32">
        <v>27.99</v>
      </c>
      <c r="K227" s="32">
        <v>55.98</v>
      </c>
      <c r="L227" s="32">
        <v>28.27</v>
      </c>
      <c r="M227" s="32">
        <v>27.71</v>
      </c>
      <c r="N227" s="1" t="s">
        <v>77</v>
      </c>
      <c r="O227" s="1" t="s">
        <v>78</v>
      </c>
    </row>
    <row r="228" spans="1:15" ht="18.95" customHeight="1" x14ac:dyDescent="0.25">
      <c r="A228" s="1" t="s">
        <v>495</v>
      </c>
      <c r="B228" s="30">
        <v>45497.5</v>
      </c>
      <c r="C228" s="1" t="s">
        <v>296</v>
      </c>
      <c r="D228" s="1" t="s">
        <v>297</v>
      </c>
      <c r="E228" s="1" t="s">
        <v>174</v>
      </c>
      <c r="F228" s="1" t="s">
        <v>175</v>
      </c>
      <c r="G228" s="1" t="s">
        <v>157</v>
      </c>
      <c r="H228" s="1" t="s">
        <v>93</v>
      </c>
      <c r="I228" s="31">
        <v>2</v>
      </c>
      <c r="J228" s="32">
        <v>19.989999999999998</v>
      </c>
      <c r="K228" s="32">
        <v>39.979999999999997</v>
      </c>
      <c r="L228" s="32">
        <v>19.79</v>
      </c>
      <c r="M228" s="32">
        <v>20.190000000000001</v>
      </c>
      <c r="N228" s="1" t="s">
        <v>117</v>
      </c>
      <c r="O228" s="1" t="s">
        <v>78</v>
      </c>
    </row>
    <row r="229" spans="1:15" ht="18.95" customHeight="1" x14ac:dyDescent="0.25">
      <c r="A229" s="1" t="s">
        <v>496</v>
      </c>
      <c r="B229" s="30">
        <v>45498.5</v>
      </c>
      <c r="C229" s="1" t="s">
        <v>186</v>
      </c>
      <c r="D229" s="1" t="s">
        <v>187</v>
      </c>
      <c r="E229" s="1" t="s">
        <v>169</v>
      </c>
      <c r="F229" s="1" t="s">
        <v>170</v>
      </c>
      <c r="G229" s="1" t="s">
        <v>202</v>
      </c>
      <c r="H229" s="1" t="s">
        <v>85</v>
      </c>
      <c r="I229" s="31">
        <v>1</v>
      </c>
      <c r="J229" s="32">
        <v>6.79</v>
      </c>
      <c r="K229" s="32">
        <v>6.79</v>
      </c>
      <c r="L229" s="32">
        <v>4.38</v>
      </c>
      <c r="M229" s="32">
        <v>2.41</v>
      </c>
      <c r="N229" s="1" t="s">
        <v>315</v>
      </c>
      <c r="O229" s="1" t="s">
        <v>112</v>
      </c>
    </row>
    <row r="230" spans="1:15" ht="18.95" customHeight="1" x14ac:dyDescent="0.25">
      <c r="A230" s="1" t="s">
        <v>497</v>
      </c>
      <c r="B230" s="30">
        <v>45498.5</v>
      </c>
      <c r="C230" s="1" t="s">
        <v>186</v>
      </c>
      <c r="D230" s="1" t="s">
        <v>187</v>
      </c>
      <c r="E230" s="1" t="s">
        <v>169</v>
      </c>
      <c r="F230" s="1" t="s">
        <v>170</v>
      </c>
      <c r="G230" s="1" t="s">
        <v>319</v>
      </c>
      <c r="H230" s="1" t="s">
        <v>128</v>
      </c>
      <c r="I230" s="31">
        <v>1</v>
      </c>
      <c r="J230" s="32">
        <v>52.24</v>
      </c>
      <c r="K230" s="32">
        <v>52.24</v>
      </c>
      <c r="L230" s="32">
        <v>35.869999999999997</v>
      </c>
      <c r="M230" s="32">
        <v>16.37</v>
      </c>
      <c r="N230" s="1" t="s">
        <v>77</v>
      </c>
      <c r="O230" s="1" t="s">
        <v>78</v>
      </c>
    </row>
    <row r="231" spans="1:15" ht="18.95" customHeight="1" x14ac:dyDescent="0.25">
      <c r="A231" s="1" t="s">
        <v>498</v>
      </c>
      <c r="B231" s="30">
        <v>45498.5</v>
      </c>
      <c r="C231" s="1" t="s">
        <v>446</v>
      </c>
      <c r="D231" s="1" t="s">
        <v>447</v>
      </c>
      <c r="E231" s="1" t="s">
        <v>136</v>
      </c>
      <c r="F231" s="1" t="s">
        <v>137</v>
      </c>
      <c r="G231" s="1" t="s">
        <v>207</v>
      </c>
      <c r="H231" s="1" t="s">
        <v>85</v>
      </c>
      <c r="I231" s="31">
        <v>2</v>
      </c>
      <c r="J231" s="32">
        <v>119.99</v>
      </c>
      <c r="K231" s="32">
        <v>239.98</v>
      </c>
      <c r="L231" s="32">
        <v>184.78</v>
      </c>
      <c r="M231" s="32">
        <v>55.2</v>
      </c>
      <c r="N231" s="1" t="s">
        <v>315</v>
      </c>
      <c r="O231" s="1" t="s">
        <v>112</v>
      </c>
    </row>
    <row r="232" spans="1:15" ht="18.95" customHeight="1" x14ac:dyDescent="0.25">
      <c r="A232" s="1" t="s">
        <v>499</v>
      </c>
      <c r="B232" s="30">
        <v>45498.5</v>
      </c>
      <c r="C232" s="1" t="s">
        <v>500</v>
      </c>
      <c r="D232" s="1" t="s">
        <v>501</v>
      </c>
      <c r="E232" s="1" t="s">
        <v>183</v>
      </c>
      <c r="F232" s="1" t="s">
        <v>137</v>
      </c>
      <c r="G232" s="1" t="s">
        <v>116</v>
      </c>
      <c r="H232" s="1" t="s">
        <v>76</v>
      </c>
      <c r="I232" s="31">
        <v>1</v>
      </c>
      <c r="J232" s="32">
        <v>14.99</v>
      </c>
      <c r="K232" s="32">
        <v>14.99</v>
      </c>
      <c r="L232" s="32">
        <v>6.82</v>
      </c>
      <c r="M232" s="32">
        <v>8.17</v>
      </c>
      <c r="N232" s="1" t="s">
        <v>117</v>
      </c>
      <c r="O232" s="1" t="s">
        <v>78</v>
      </c>
    </row>
    <row r="233" spans="1:15" ht="18.95" customHeight="1" x14ac:dyDescent="0.25">
      <c r="A233" s="1" t="s">
        <v>502</v>
      </c>
      <c r="B233" s="30">
        <v>45500.5</v>
      </c>
      <c r="C233" s="1" t="s">
        <v>130</v>
      </c>
      <c r="D233" s="1" t="s">
        <v>131</v>
      </c>
      <c r="E233" s="1" t="s">
        <v>82</v>
      </c>
      <c r="F233" s="1" t="s">
        <v>83</v>
      </c>
      <c r="G233" s="1" t="s">
        <v>84</v>
      </c>
      <c r="H233" s="1" t="s">
        <v>85</v>
      </c>
      <c r="I233" s="31">
        <v>2</v>
      </c>
      <c r="J233" s="32">
        <v>8.99</v>
      </c>
      <c r="K233" s="32">
        <v>17.98</v>
      </c>
      <c r="L233" s="32">
        <v>8</v>
      </c>
      <c r="M233" s="32">
        <v>9.98</v>
      </c>
      <c r="N233" s="1" t="s">
        <v>117</v>
      </c>
      <c r="O233" s="1" t="s">
        <v>78</v>
      </c>
    </row>
    <row r="234" spans="1:15" ht="18.95" customHeight="1" x14ac:dyDescent="0.25">
      <c r="A234" s="1" t="s">
        <v>502</v>
      </c>
      <c r="B234" s="30">
        <v>45500.5</v>
      </c>
      <c r="C234" s="1" t="s">
        <v>130</v>
      </c>
      <c r="D234" s="1" t="s">
        <v>131</v>
      </c>
      <c r="E234" s="1" t="s">
        <v>82</v>
      </c>
      <c r="F234" s="1" t="s">
        <v>83</v>
      </c>
      <c r="G234" s="1" t="s">
        <v>127</v>
      </c>
      <c r="H234" s="1" t="s">
        <v>128</v>
      </c>
      <c r="I234" s="31">
        <v>1</v>
      </c>
      <c r="J234" s="32">
        <v>24.99</v>
      </c>
      <c r="K234" s="32">
        <v>24.99</v>
      </c>
      <c r="L234" s="32">
        <v>15.12</v>
      </c>
      <c r="M234" s="32">
        <v>9.8699999999999992</v>
      </c>
      <c r="N234" s="1" t="s">
        <v>117</v>
      </c>
      <c r="O234" s="1" t="s">
        <v>78</v>
      </c>
    </row>
    <row r="235" spans="1:15" ht="18.95" customHeight="1" x14ac:dyDescent="0.25">
      <c r="A235" s="1" t="s">
        <v>502</v>
      </c>
      <c r="B235" s="30">
        <v>45500.5</v>
      </c>
      <c r="C235" s="1" t="s">
        <v>130</v>
      </c>
      <c r="D235" s="1" t="s">
        <v>131</v>
      </c>
      <c r="E235" s="1" t="s">
        <v>82</v>
      </c>
      <c r="F235" s="1" t="s">
        <v>83</v>
      </c>
      <c r="G235" s="1" t="s">
        <v>132</v>
      </c>
      <c r="H235" s="1" t="s">
        <v>99</v>
      </c>
      <c r="I235" s="31">
        <v>1</v>
      </c>
      <c r="J235" s="32">
        <v>89.99</v>
      </c>
      <c r="K235" s="32">
        <v>89.99</v>
      </c>
      <c r="L235" s="32">
        <v>64.34</v>
      </c>
      <c r="M235" s="32">
        <v>25.65</v>
      </c>
      <c r="N235" s="1" t="s">
        <v>117</v>
      </c>
      <c r="O235" s="1" t="s">
        <v>78</v>
      </c>
    </row>
    <row r="236" spans="1:15" ht="18.95" customHeight="1" x14ac:dyDescent="0.25">
      <c r="A236" s="1" t="s">
        <v>503</v>
      </c>
      <c r="B236" s="30">
        <v>45501.5</v>
      </c>
      <c r="C236" s="1" t="s">
        <v>282</v>
      </c>
      <c r="D236" s="1" t="s">
        <v>283</v>
      </c>
      <c r="E236" s="1" t="s">
        <v>164</v>
      </c>
      <c r="F236" s="1" t="s">
        <v>165</v>
      </c>
      <c r="G236" s="1" t="s">
        <v>155</v>
      </c>
      <c r="H236" s="1" t="s">
        <v>93</v>
      </c>
      <c r="I236" s="31">
        <v>1</v>
      </c>
      <c r="J236" s="32">
        <v>27.99</v>
      </c>
      <c r="K236" s="32">
        <v>27.99</v>
      </c>
      <c r="L236" s="32">
        <v>14.13</v>
      </c>
      <c r="M236" s="32">
        <v>13.86</v>
      </c>
      <c r="N236" s="1" t="s">
        <v>117</v>
      </c>
      <c r="O236" s="1" t="s">
        <v>78</v>
      </c>
    </row>
    <row r="237" spans="1:15" ht="18.95" customHeight="1" x14ac:dyDescent="0.25">
      <c r="A237" s="1" t="s">
        <v>504</v>
      </c>
      <c r="B237" s="30">
        <v>45502.5</v>
      </c>
      <c r="C237" s="1" t="s">
        <v>505</v>
      </c>
      <c r="D237" s="1" t="s">
        <v>506</v>
      </c>
      <c r="E237" s="1" t="s">
        <v>74</v>
      </c>
      <c r="F237" s="1" t="s">
        <v>74</v>
      </c>
      <c r="G237" s="1" t="s">
        <v>202</v>
      </c>
      <c r="H237" s="1" t="s">
        <v>85</v>
      </c>
      <c r="I237" s="31">
        <v>2</v>
      </c>
      <c r="J237" s="32">
        <v>7.59</v>
      </c>
      <c r="K237" s="32">
        <v>15.18</v>
      </c>
      <c r="L237" s="32">
        <v>8.8800000000000008</v>
      </c>
      <c r="M237" s="32">
        <v>6.3</v>
      </c>
      <c r="N237" s="1" t="s">
        <v>117</v>
      </c>
      <c r="O237" s="1" t="s">
        <v>112</v>
      </c>
    </row>
    <row r="238" spans="1:15" ht="18.95" customHeight="1" x14ac:dyDescent="0.25">
      <c r="A238" s="1" t="s">
        <v>504</v>
      </c>
      <c r="B238" s="30">
        <v>45502.5</v>
      </c>
      <c r="C238" s="1" t="s">
        <v>505</v>
      </c>
      <c r="D238" s="1" t="s">
        <v>506</v>
      </c>
      <c r="E238" s="1" t="s">
        <v>74</v>
      </c>
      <c r="F238" s="1" t="s">
        <v>74</v>
      </c>
      <c r="G238" s="1" t="s">
        <v>230</v>
      </c>
      <c r="H238" s="1" t="s">
        <v>128</v>
      </c>
      <c r="I238" s="31">
        <v>2</v>
      </c>
      <c r="J238" s="32">
        <v>44.99</v>
      </c>
      <c r="K238" s="32">
        <v>89.98</v>
      </c>
      <c r="L238" s="32">
        <v>59.39</v>
      </c>
      <c r="M238" s="32">
        <v>30.59</v>
      </c>
      <c r="N238" s="1" t="s">
        <v>117</v>
      </c>
      <c r="O238" s="1" t="s">
        <v>112</v>
      </c>
    </row>
    <row r="239" spans="1:15" ht="18.95" customHeight="1" x14ac:dyDescent="0.25">
      <c r="A239" s="1" t="s">
        <v>504</v>
      </c>
      <c r="B239" s="30">
        <v>45502.5</v>
      </c>
      <c r="C239" s="1" t="s">
        <v>505</v>
      </c>
      <c r="D239" s="1" t="s">
        <v>506</v>
      </c>
      <c r="E239" s="1" t="s">
        <v>74</v>
      </c>
      <c r="F239" s="1" t="s">
        <v>74</v>
      </c>
      <c r="G239" s="1" t="s">
        <v>155</v>
      </c>
      <c r="H239" s="1" t="s">
        <v>93</v>
      </c>
      <c r="I239" s="31">
        <v>2</v>
      </c>
      <c r="J239" s="32">
        <v>27.99</v>
      </c>
      <c r="K239" s="32">
        <v>55.98</v>
      </c>
      <c r="L239" s="32">
        <v>29.67</v>
      </c>
      <c r="M239" s="32">
        <v>26.31</v>
      </c>
      <c r="N239" s="1" t="s">
        <v>117</v>
      </c>
      <c r="O239" s="1" t="s">
        <v>112</v>
      </c>
    </row>
    <row r="240" spans="1:15" ht="18.95" customHeight="1" x14ac:dyDescent="0.25">
      <c r="A240" s="1" t="s">
        <v>507</v>
      </c>
      <c r="B240" s="30">
        <v>45502.5</v>
      </c>
      <c r="C240" s="1" t="s">
        <v>508</v>
      </c>
      <c r="D240" s="1" t="s">
        <v>509</v>
      </c>
      <c r="E240" s="1" t="s">
        <v>150</v>
      </c>
      <c r="F240" s="1" t="s">
        <v>105</v>
      </c>
      <c r="G240" s="1" t="s">
        <v>230</v>
      </c>
      <c r="H240" s="1" t="s">
        <v>128</v>
      </c>
      <c r="I240" s="31">
        <v>1</v>
      </c>
      <c r="J240" s="32">
        <v>44.99</v>
      </c>
      <c r="K240" s="32">
        <v>44.99</v>
      </c>
      <c r="L240" s="32">
        <v>29.69</v>
      </c>
      <c r="M240" s="32">
        <v>15.3</v>
      </c>
      <c r="N240" s="1" t="s">
        <v>111</v>
      </c>
      <c r="O240" s="1" t="s">
        <v>112</v>
      </c>
    </row>
    <row r="241" spans="1:15" ht="18.95" customHeight="1" x14ac:dyDescent="0.25">
      <c r="A241" s="1" t="s">
        <v>510</v>
      </c>
      <c r="B241" s="30">
        <v>45503.5</v>
      </c>
      <c r="C241" s="1" t="s">
        <v>373</v>
      </c>
      <c r="D241" s="1" t="s">
        <v>374</v>
      </c>
      <c r="E241" s="1" t="s">
        <v>90</v>
      </c>
      <c r="F241" s="1" t="s">
        <v>91</v>
      </c>
      <c r="G241" s="1" t="s">
        <v>202</v>
      </c>
      <c r="H241" s="1" t="s">
        <v>85</v>
      </c>
      <c r="I241" s="31">
        <v>2</v>
      </c>
      <c r="J241" s="32">
        <v>7.59</v>
      </c>
      <c r="K241" s="32">
        <v>15.18</v>
      </c>
      <c r="L241" s="32">
        <v>8.8800000000000008</v>
      </c>
      <c r="M241" s="32">
        <v>6.3</v>
      </c>
      <c r="N241" s="1" t="s">
        <v>86</v>
      </c>
      <c r="O241" s="1" t="s">
        <v>112</v>
      </c>
    </row>
    <row r="242" spans="1:15" ht="18.95" customHeight="1" x14ac:dyDescent="0.25">
      <c r="A242" s="1" t="s">
        <v>511</v>
      </c>
      <c r="B242" s="30">
        <v>45503.5</v>
      </c>
      <c r="C242" s="1" t="s">
        <v>512</v>
      </c>
      <c r="D242" s="1" t="s">
        <v>513</v>
      </c>
      <c r="E242" s="1" t="s">
        <v>97</v>
      </c>
      <c r="F242" s="1" t="s">
        <v>91</v>
      </c>
      <c r="G242" s="1" t="s">
        <v>226</v>
      </c>
      <c r="H242" s="1" t="s">
        <v>85</v>
      </c>
      <c r="I242" s="31">
        <v>1</v>
      </c>
      <c r="J242" s="32">
        <v>74.989999999999995</v>
      </c>
      <c r="K242" s="32">
        <v>74.989999999999995</v>
      </c>
      <c r="L242" s="32">
        <v>50.62</v>
      </c>
      <c r="M242" s="32">
        <v>24.37</v>
      </c>
      <c r="N242" s="1" t="s">
        <v>117</v>
      </c>
      <c r="O242" s="1" t="s">
        <v>78</v>
      </c>
    </row>
    <row r="243" spans="1:15" ht="18.95" customHeight="1" x14ac:dyDescent="0.25">
      <c r="A243" s="1" t="s">
        <v>511</v>
      </c>
      <c r="B243" s="30">
        <v>45503.5</v>
      </c>
      <c r="C243" s="1" t="s">
        <v>512</v>
      </c>
      <c r="D243" s="1" t="s">
        <v>513</v>
      </c>
      <c r="E243" s="1" t="s">
        <v>97</v>
      </c>
      <c r="F243" s="1" t="s">
        <v>91</v>
      </c>
      <c r="G243" s="1" t="s">
        <v>189</v>
      </c>
      <c r="H243" s="1" t="s">
        <v>93</v>
      </c>
      <c r="I243" s="31">
        <v>1</v>
      </c>
      <c r="J243" s="32">
        <v>44.99</v>
      </c>
      <c r="K243" s="32">
        <v>44.99</v>
      </c>
      <c r="L243" s="32">
        <v>26.77</v>
      </c>
      <c r="M243" s="32">
        <v>18.22</v>
      </c>
      <c r="N243" s="1" t="s">
        <v>117</v>
      </c>
      <c r="O243" s="1" t="s">
        <v>78</v>
      </c>
    </row>
    <row r="244" spans="1:15" ht="18.95" customHeight="1" x14ac:dyDescent="0.25">
      <c r="A244" s="1" t="s">
        <v>514</v>
      </c>
      <c r="B244" s="30">
        <v>45503.5</v>
      </c>
      <c r="C244" s="1" t="s">
        <v>515</v>
      </c>
      <c r="D244" s="1" t="s">
        <v>516</v>
      </c>
      <c r="E244" s="1" t="s">
        <v>136</v>
      </c>
      <c r="F244" s="1" t="s">
        <v>137</v>
      </c>
      <c r="G244" s="1" t="s">
        <v>306</v>
      </c>
      <c r="H244" s="1" t="s">
        <v>76</v>
      </c>
      <c r="I244" s="31">
        <v>2</v>
      </c>
      <c r="J244" s="32">
        <v>24.99</v>
      </c>
      <c r="K244" s="32">
        <v>49.98</v>
      </c>
      <c r="L244" s="32">
        <v>26.99</v>
      </c>
      <c r="M244" s="32">
        <v>22.99</v>
      </c>
      <c r="N244" s="1" t="s">
        <v>86</v>
      </c>
      <c r="O244" s="1" t="s">
        <v>112</v>
      </c>
    </row>
    <row r="245" spans="1:15" ht="18.95" customHeight="1" x14ac:dyDescent="0.25">
      <c r="A245" s="1" t="s">
        <v>517</v>
      </c>
      <c r="B245" s="30">
        <v>45504.5</v>
      </c>
      <c r="C245" s="1" t="s">
        <v>373</v>
      </c>
      <c r="D245" s="1" t="s">
        <v>374</v>
      </c>
      <c r="E245" s="1" t="s">
        <v>90</v>
      </c>
      <c r="F245" s="1" t="s">
        <v>91</v>
      </c>
      <c r="G245" s="1" t="s">
        <v>202</v>
      </c>
      <c r="H245" s="1" t="s">
        <v>85</v>
      </c>
      <c r="I245" s="31">
        <v>1</v>
      </c>
      <c r="J245" s="32">
        <v>7.99</v>
      </c>
      <c r="K245" s="32">
        <v>7.99</v>
      </c>
      <c r="L245" s="32">
        <v>4.47</v>
      </c>
      <c r="M245" s="32">
        <v>3.52</v>
      </c>
      <c r="N245" s="1" t="s">
        <v>315</v>
      </c>
      <c r="O245" s="1" t="s">
        <v>112</v>
      </c>
    </row>
    <row r="246" spans="1:15" ht="18.95" customHeight="1" x14ac:dyDescent="0.25">
      <c r="A246" s="1" t="s">
        <v>518</v>
      </c>
      <c r="B246" s="30">
        <v>45504.5</v>
      </c>
      <c r="C246" s="1" t="s">
        <v>353</v>
      </c>
      <c r="D246" s="1" t="s">
        <v>354</v>
      </c>
      <c r="E246" s="1" t="s">
        <v>136</v>
      </c>
      <c r="F246" s="1" t="s">
        <v>137</v>
      </c>
      <c r="G246" s="1" t="s">
        <v>202</v>
      </c>
      <c r="H246" s="1" t="s">
        <v>85</v>
      </c>
      <c r="I246" s="31">
        <v>3</v>
      </c>
      <c r="J246" s="32">
        <v>7.99</v>
      </c>
      <c r="K246" s="32">
        <v>23.97</v>
      </c>
      <c r="L246" s="32">
        <v>14.38</v>
      </c>
      <c r="M246" s="32">
        <v>9.59</v>
      </c>
      <c r="N246" s="1" t="s">
        <v>77</v>
      </c>
      <c r="O246" s="1" t="s">
        <v>118</v>
      </c>
    </row>
    <row r="247" spans="1:15" ht="18.95" customHeight="1" x14ac:dyDescent="0.25">
      <c r="A247" s="1" t="s">
        <v>518</v>
      </c>
      <c r="B247" s="30">
        <v>45504.5</v>
      </c>
      <c r="C247" s="1" t="s">
        <v>353</v>
      </c>
      <c r="D247" s="1" t="s">
        <v>354</v>
      </c>
      <c r="E247" s="1" t="s">
        <v>136</v>
      </c>
      <c r="F247" s="1" t="s">
        <v>137</v>
      </c>
      <c r="G247" s="1" t="s">
        <v>151</v>
      </c>
      <c r="H247" s="1" t="s">
        <v>76</v>
      </c>
      <c r="I247" s="31">
        <v>1</v>
      </c>
      <c r="J247" s="32">
        <v>18.04</v>
      </c>
      <c r="K247" s="32">
        <v>18.04</v>
      </c>
      <c r="L247" s="32">
        <v>10.33</v>
      </c>
      <c r="M247" s="32">
        <v>7.71</v>
      </c>
      <c r="N247" s="1" t="s">
        <v>77</v>
      </c>
      <c r="O247" s="1" t="s">
        <v>118</v>
      </c>
    </row>
    <row r="248" spans="1:15" ht="18.95" customHeight="1" x14ac:dyDescent="0.25">
      <c r="A248" s="1" t="s">
        <v>519</v>
      </c>
      <c r="B248" s="30">
        <v>45506.5</v>
      </c>
      <c r="C248" s="1" t="s">
        <v>299</v>
      </c>
      <c r="D248" s="1" t="s">
        <v>300</v>
      </c>
      <c r="E248" s="1" t="s">
        <v>174</v>
      </c>
      <c r="F248" s="1" t="s">
        <v>175</v>
      </c>
      <c r="G248" s="1" t="s">
        <v>306</v>
      </c>
      <c r="H248" s="1" t="s">
        <v>76</v>
      </c>
      <c r="I248" s="31">
        <v>1</v>
      </c>
      <c r="J248" s="32">
        <v>23.74</v>
      </c>
      <c r="K248" s="32">
        <v>23.74</v>
      </c>
      <c r="L248" s="32">
        <v>12.8</v>
      </c>
      <c r="M248" s="32">
        <v>10.94</v>
      </c>
      <c r="N248" s="1" t="s">
        <v>77</v>
      </c>
      <c r="O248" s="1" t="s">
        <v>78</v>
      </c>
    </row>
    <row r="249" spans="1:15" ht="18.95" customHeight="1" x14ac:dyDescent="0.25">
      <c r="A249" s="1" t="s">
        <v>519</v>
      </c>
      <c r="B249" s="30">
        <v>45506.5</v>
      </c>
      <c r="C249" s="1" t="s">
        <v>299</v>
      </c>
      <c r="D249" s="1" t="s">
        <v>300</v>
      </c>
      <c r="E249" s="1" t="s">
        <v>174</v>
      </c>
      <c r="F249" s="1" t="s">
        <v>175</v>
      </c>
      <c r="G249" s="1" t="s">
        <v>319</v>
      </c>
      <c r="H249" s="1" t="s">
        <v>128</v>
      </c>
      <c r="I249" s="31">
        <v>1</v>
      </c>
      <c r="J249" s="32">
        <v>54.99</v>
      </c>
      <c r="K249" s="32">
        <v>54.99</v>
      </c>
      <c r="L249" s="32">
        <v>36.020000000000003</v>
      </c>
      <c r="M249" s="32">
        <v>18.97</v>
      </c>
      <c r="N249" s="1" t="s">
        <v>77</v>
      </c>
      <c r="O249" s="1" t="s">
        <v>78</v>
      </c>
    </row>
    <row r="250" spans="1:15" ht="18.95" customHeight="1" x14ac:dyDescent="0.25">
      <c r="A250" s="1" t="s">
        <v>519</v>
      </c>
      <c r="B250" s="30">
        <v>45506.5</v>
      </c>
      <c r="C250" s="1" t="s">
        <v>299</v>
      </c>
      <c r="D250" s="1" t="s">
        <v>300</v>
      </c>
      <c r="E250" s="1" t="s">
        <v>174</v>
      </c>
      <c r="F250" s="1" t="s">
        <v>175</v>
      </c>
      <c r="G250" s="1" t="s">
        <v>157</v>
      </c>
      <c r="H250" s="1" t="s">
        <v>93</v>
      </c>
      <c r="I250" s="31">
        <v>2</v>
      </c>
      <c r="J250" s="32">
        <v>19.989999999999998</v>
      </c>
      <c r="K250" s="32">
        <v>39.979999999999997</v>
      </c>
      <c r="L250" s="32">
        <v>19.79</v>
      </c>
      <c r="M250" s="32">
        <v>20.190000000000001</v>
      </c>
      <c r="N250" s="1" t="s">
        <v>77</v>
      </c>
      <c r="O250" s="1" t="s">
        <v>78</v>
      </c>
    </row>
    <row r="251" spans="1:15" ht="18.95" customHeight="1" x14ac:dyDescent="0.25">
      <c r="A251" s="1" t="s">
        <v>520</v>
      </c>
      <c r="B251" s="30">
        <v>45508.5</v>
      </c>
      <c r="C251" s="1" t="s">
        <v>521</v>
      </c>
      <c r="D251" s="1" t="s">
        <v>522</v>
      </c>
      <c r="E251" s="1" t="s">
        <v>74</v>
      </c>
      <c r="F251" s="1" t="s">
        <v>74</v>
      </c>
      <c r="G251" s="1" t="s">
        <v>138</v>
      </c>
      <c r="H251" s="1" t="s">
        <v>99</v>
      </c>
      <c r="I251" s="31">
        <v>1</v>
      </c>
      <c r="J251" s="32">
        <v>34.99</v>
      </c>
      <c r="K251" s="32">
        <v>34.99</v>
      </c>
      <c r="L251" s="32">
        <v>21.87</v>
      </c>
      <c r="M251" s="32">
        <v>13.12</v>
      </c>
      <c r="N251" s="1" t="s">
        <v>77</v>
      </c>
      <c r="O251" s="1" t="s">
        <v>78</v>
      </c>
    </row>
    <row r="252" spans="1:15" ht="18.95" customHeight="1" x14ac:dyDescent="0.25">
      <c r="A252" s="1" t="s">
        <v>520</v>
      </c>
      <c r="B252" s="30">
        <v>45508.5</v>
      </c>
      <c r="C252" s="1" t="s">
        <v>521</v>
      </c>
      <c r="D252" s="1" t="s">
        <v>522</v>
      </c>
      <c r="E252" s="1" t="s">
        <v>74</v>
      </c>
      <c r="F252" s="1" t="s">
        <v>74</v>
      </c>
      <c r="G252" s="1" t="s">
        <v>84</v>
      </c>
      <c r="H252" s="1" t="s">
        <v>85</v>
      </c>
      <c r="I252" s="31">
        <v>1</v>
      </c>
      <c r="J252" s="32">
        <v>8.99</v>
      </c>
      <c r="K252" s="32">
        <v>8.99</v>
      </c>
      <c r="L252" s="32">
        <v>4</v>
      </c>
      <c r="M252" s="32">
        <v>4.99</v>
      </c>
      <c r="N252" s="1" t="s">
        <v>77</v>
      </c>
      <c r="O252" s="1" t="s">
        <v>78</v>
      </c>
    </row>
    <row r="253" spans="1:15" ht="18.95" customHeight="1" x14ac:dyDescent="0.25">
      <c r="A253" s="1" t="s">
        <v>523</v>
      </c>
      <c r="B253" s="30">
        <v>45511.5</v>
      </c>
      <c r="C253" s="1" t="s">
        <v>338</v>
      </c>
      <c r="D253" s="1" t="s">
        <v>339</v>
      </c>
      <c r="E253" s="1" t="s">
        <v>243</v>
      </c>
      <c r="F253" s="1" t="s">
        <v>165</v>
      </c>
      <c r="G253" s="1" t="s">
        <v>127</v>
      </c>
      <c r="H253" s="1" t="s">
        <v>128</v>
      </c>
      <c r="I253" s="31">
        <v>2</v>
      </c>
      <c r="J253" s="32">
        <v>24.99</v>
      </c>
      <c r="K253" s="32">
        <v>49.98</v>
      </c>
      <c r="L253" s="32">
        <v>31.49</v>
      </c>
      <c r="M253" s="32">
        <v>18.489999999999998</v>
      </c>
      <c r="N253" s="1" t="s">
        <v>86</v>
      </c>
      <c r="O253" s="1" t="s">
        <v>112</v>
      </c>
    </row>
    <row r="254" spans="1:15" ht="18.95" customHeight="1" x14ac:dyDescent="0.25">
      <c r="A254" s="1" t="s">
        <v>523</v>
      </c>
      <c r="B254" s="30">
        <v>45511.5</v>
      </c>
      <c r="C254" s="1" t="s">
        <v>338</v>
      </c>
      <c r="D254" s="1" t="s">
        <v>339</v>
      </c>
      <c r="E254" s="1" t="s">
        <v>243</v>
      </c>
      <c r="F254" s="1" t="s">
        <v>165</v>
      </c>
      <c r="G254" s="1" t="s">
        <v>132</v>
      </c>
      <c r="H254" s="1" t="s">
        <v>99</v>
      </c>
      <c r="I254" s="31">
        <v>1</v>
      </c>
      <c r="J254" s="32">
        <v>89.99</v>
      </c>
      <c r="K254" s="32">
        <v>89.99</v>
      </c>
      <c r="L254" s="32">
        <v>66.59</v>
      </c>
      <c r="M254" s="32">
        <v>23.4</v>
      </c>
      <c r="N254" s="1" t="s">
        <v>86</v>
      </c>
      <c r="O254" s="1" t="s">
        <v>112</v>
      </c>
    </row>
    <row r="255" spans="1:15" ht="18.95" customHeight="1" x14ac:dyDescent="0.25">
      <c r="A255" s="1" t="s">
        <v>524</v>
      </c>
      <c r="B255" s="30">
        <v>45511.5</v>
      </c>
      <c r="C255" s="1" t="s">
        <v>525</v>
      </c>
      <c r="D255" s="1" t="s">
        <v>526</v>
      </c>
      <c r="E255" s="1" t="s">
        <v>74</v>
      </c>
      <c r="F255" s="1" t="s">
        <v>74</v>
      </c>
      <c r="G255" s="1" t="s">
        <v>143</v>
      </c>
      <c r="H255" s="1" t="s">
        <v>128</v>
      </c>
      <c r="I255" s="31">
        <v>3</v>
      </c>
      <c r="J255" s="32">
        <v>94.99</v>
      </c>
      <c r="K255" s="32">
        <v>284.97000000000003</v>
      </c>
      <c r="L255" s="32">
        <v>223.7</v>
      </c>
      <c r="M255" s="32">
        <v>61.27</v>
      </c>
      <c r="N255" s="1" t="s">
        <v>117</v>
      </c>
      <c r="O255" s="1" t="s">
        <v>233</v>
      </c>
    </row>
    <row r="256" spans="1:15" ht="18.95" customHeight="1" x14ac:dyDescent="0.25">
      <c r="A256" s="1" t="s">
        <v>524</v>
      </c>
      <c r="B256" s="30">
        <v>45511.5</v>
      </c>
      <c r="C256" s="1" t="s">
        <v>525</v>
      </c>
      <c r="D256" s="1" t="s">
        <v>526</v>
      </c>
      <c r="E256" s="1" t="s">
        <v>74</v>
      </c>
      <c r="F256" s="1" t="s">
        <v>74</v>
      </c>
      <c r="G256" s="1" t="s">
        <v>207</v>
      </c>
      <c r="H256" s="1" t="s">
        <v>85</v>
      </c>
      <c r="I256" s="31">
        <v>2</v>
      </c>
      <c r="J256" s="32">
        <v>119.99</v>
      </c>
      <c r="K256" s="32">
        <v>239.98</v>
      </c>
      <c r="L256" s="32">
        <v>181.18</v>
      </c>
      <c r="M256" s="32">
        <v>58.8</v>
      </c>
      <c r="N256" s="1" t="s">
        <v>117</v>
      </c>
      <c r="O256" s="1" t="s">
        <v>233</v>
      </c>
    </row>
    <row r="257" spans="1:15" ht="18.95" customHeight="1" x14ac:dyDescent="0.25">
      <c r="A257" s="1" t="s">
        <v>527</v>
      </c>
      <c r="B257" s="30">
        <v>45512.5</v>
      </c>
      <c r="C257" s="1" t="s">
        <v>512</v>
      </c>
      <c r="D257" s="1" t="s">
        <v>513</v>
      </c>
      <c r="E257" s="1" t="s">
        <v>97</v>
      </c>
      <c r="F257" s="1" t="s">
        <v>91</v>
      </c>
      <c r="G257" s="1" t="s">
        <v>188</v>
      </c>
      <c r="H257" s="1" t="s">
        <v>76</v>
      </c>
      <c r="I257" s="31">
        <v>1</v>
      </c>
      <c r="J257" s="32">
        <v>84.99</v>
      </c>
      <c r="K257" s="32">
        <v>84.99</v>
      </c>
      <c r="L257" s="32">
        <v>62.04</v>
      </c>
      <c r="M257" s="32">
        <v>22.95</v>
      </c>
      <c r="N257" s="1" t="s">
        <v>315</v>
      </c>
      <c r="O257" s="1" t="s">
        <v>112</v>
      </c>
    </row>
    <row r="258" spans="1:15" ht="18.95" customHeight="1" x14ac:dyDescent="0.25">
      <c r="A258" s="1" t="s">
        <v>528</v>
      </c>
      <c r="B258" s="30">
        <v>45516.5</v>
      </c>
      <c r="C258" s="1" t="s">
        <v>245</v>
      </c>
      <c r="D258" s="1" t="s">
        <v>246</v>
      </c>
      <c r="E258" s="1" t="s">
        <v>104</v>
      </c>
      <c r="F258" s="1" t="s">
        <v>105</v>
      </c>
      <c r="G258" s="1" t="s">
        <v>230</v>
      </c>
      <c r="H258" s="1" t="s">
        <v>128</v>
      </c>
      <c r="I258" s="31">
        <v>2</v>
      </c>
      <c r="J258" s="32">
        <v>44.99</v>
      </c>
      <c r="K258" s="32">
        <v>89.98</v>
      </c>
      <c r="L258" s="32">
        <v>59.39</v>
      </c>
      <c r="M258" s="32">
        <v>30.59</v>
      </c>
      <c r="N258" s="1" t="s">
        <v>86</v>
      </c>
      <c r="O258" s="1" t="s">
        <v>112</v>
      </c>
    </row>
    <row r="259" spans="1:15" ht="18.95" customHeight="1" x14ac:dyDescent="0.25">
      <c r="A259" s="1" t="s">
        <v>529</v>
      </c>
      <c r="B259" s="30">
        <v>45517.5</v>
      </c>
      <c r="C259" s="1" t="s">
        <v>177</v>
      </c>
      <c r="D259" s="1" t="s">
        <v>178</v>
      </c>
      <c r="E259" s="1" t="s">
        <v>97</v>
      </c>
      <c r="F259" s="1" t="s">
        <v>91</v>
      </c>
      <c r="G259" s="1" t="s">
        <v>306</v>
      </c>
      <c r="H259" s="1" t="s">
        <v>76</v>
      </c>
      <c r="I259" s="31">
        <v>1</v>
      </c>
      <c r="J259" s="32">
        <v>24.99</v>
      </c>
      <c r="K259" s="32">
        <v>24.99</v>
      </c>
      <c r="L259" s="32">
        <v>13.49</v>
      </c>
      <c r="M259" s="32">
        <v>11.5</v>
      </c>
      <c r="N259" s="1" t="s">
        <v>315</v>
      </c>
      <c r="O259" s="1" t="s">
        <v>112</v>
      </c>
    </row>
    <row r="260" spans="1:15" ht="18.95" customHeight="1" x14ac:dyDescent="0.25">
      <c r="A260" s="1" t="s">
        <v>529</v>
      </c>
      <c r="B260" s="30">
        <v>45517.5</v>
      </c>
      <c r="C260" s="1" t="s">
        <v>177</v>
      </c>
      <c r="D260" s="1" t="s">
        <v>178</v>
      </c>
      <c r="E260" s="1" t="s">
        <v>97</v>
      </c>
      <c r="F260" s="1" t="s">
        <v>91</v>
      </c>
      <c r="G260" s="1" t="s">
        <v>106</v>
      </c>
      <c r="H260" s="1" t="s">
        <v>99</v>
      </c>
      <c r="I260" s="31">
        <v>1</v>
      </c>
      <c r="J260" s="32">
        <v>67.989999999999995</v>
      </c>
      <c r="K260" s="32">
        <v>67.989999999999995</v>
      </c>
      <c r="L260" s="32">
        <v>56.63</v>
      </c>
      <c r="M260" s="32">
        <v>11.36</v>
      </c>
      <c r="N260" s="1" t="s">
        <v>315</v>
      </c>
      <c r="O260" s="1" t="s">
        <v>112</v>
      </c>
    </row>
    <row r="261" spans="1:15" ht="18.95" customHeight="1" x14ac:dyDescent="0.25">
      <c r="A261" s="1" t="s">
        <v>530</v>
      </c>
      <c r="B261" s="30">
        <v>45517.5</v>
      </c>
      <c r="C261" s="1" t="s">
        <v>420</v>
      </c>
      <c r="D261" s="1" t="s">
        <v>421</v>
      </c>
      <c r="E261" s="1" t="s">
        <v>74</v>
      </c>
      <c r="F261" s="1" t="s">
        <v>74</v>
      </c>
      <c r="G261" s="1" t="s">
        <v>179</v>
      </c>
      <c r="H261" s="1" t="s">
        <v>128</v>
      </c>
      <c r="I261" s="31">
        <v>1</v>
      </c>
      <c r="J261" s="32">
        <v>37.99</v>
      </c>
      <c r="K261" s="32">
        <v>37.99</v>
      </c>
      <c r="L261" s="32">
        <v>25.35</v>
      </c>
      <c r="M261" s="32">
        <v>12.64</v>
      </c>
      <c r="N261" s="1" t="s">
        <v>117</v>
      </c>
      <c r="O261" s="1" t="s">
        <v>118</v>
      </c>
    </row>
    <row r="262" spans="1:15" ht="18.95" customHeight="1" x14ac:dyDescent="0.25">
      <c r="A262" s="1" t="s">
        <v>531</v>
      </c>
      <c r="B262" s="30">
        <v>45518.5</v>
      </c>
      <c r="C262" s="1" t="s">
        <v>335</v>
      </c>
      <c r="D262" s="1" t="s">
        <v>336</v>
      </c>
      <c r="E262" s="1" t="s">
        <v>90</v>
      </c>
      <c r="F262" s="1" t="s">
        <v>91</v>
      </c>
      <c r="G262" s="1" t="s">
        <v>84</v>
      </c>
      <c r="H262" s="1" t="s">
        <v>85</v>
      </c>
      <c r="I262" s="31">
        <v>1</v>
      </c>
      <c r="J262" s="32">
        <v>8.99</v>
      </c>
      <c r="K262" s="32">
        <v>8.99</v>
      </c>
      <c r="L262" s="32">
        <v>4</v>
      </c>
      <c r="M262" s="32">
        <v>4.99</v>
      </c>
      <c r="N262" s="1" t="s">
        <v>86</v>
      </c>
      <c r="O262" s="1" t="s">
        <v>78</v>
      </c>
    </row>
    <row r="263" spans="1:15" ht="18.95" customHeight="1" x14ac:dyDescent="0.25">
      <c r="A263" s="1" t="s">
        <v>532</v>
      </c>
      <c r="B263" s="30">
        <v>45520.5</v>
      </c>
      <c r="C263" s="1" t="s">
        <v>224</v>
      </c>
      <c r="D263" s="1" t="s">
        <v>225</v>
      </c>
      <c r="E263" s="1" t="s">
        <v>74</v>
      </c>
      <c r="F263" s="1" t="s">
        <v>74</v>
      </c>
      <c r="G263" s="1" t="s">
        <v>143</v>
      </c>
      <c r="H263" s="1" t="s">
        <v>128</v>
      </c>
      <c r="I263" s="31">
        <v>1</v>
      </c>
      <c r="J263" s="32">
        <v>94.99</v>
      </c>
      <c r="K263" s="32">
        <v>94.99</v>
      </c>
      <c r="L263" s="32">
        <v>73.62</v>
      </c>
      <c r="M263" s="32">
        <v>21.37</v>
      </c>
      <c r="N263" s="1" t="s">
        <v>111</v>
      </c>
      <c r="O263" s="1" t="s">
        <v>78</v>
      </c>
    </row>
    <row r="264" spans="1:15" ht="18.95" customHeight="1" x14ac:dyDescent="0.25">
      <c r="A264" s="1" t="s">
        <v>532</v>
      </c>
      <c r="B264" s="30">
        <v>45520.5</v>
      </c>
      <c r="C264" s="1" t="s">
        <v>224</v>
      </c>
      <c r="D264" s="1" t="s">
        <v>225</v>
      </c>
      <c r="E264" s="1" t="s">
        <v>74</v>
      </c>
      <c r="F264" s="1" t="s">
        <v>74</v>
      </c>
      <c r="G264" s="1" t="s">
        <v>110</v>
      </c>
      <c r="H264" s="1" t="s">
        <v>85</v>
      </c>
      <c r="I264" s="31">
        <v>1</v>
      </c>
      <c r="J264" s="32">
        <v>12.99</v>
      </c>
      <c r="K264" s="32">
        <v>12.99</v>
      </c>
      <c r="L264" s="32">
        <v>6.17</v>
      </c>
      <c r="M264" s="32">
        <v>6.82</v>
      </c>
      <c r="N264" s="1" t="s">
        <v>111</v>
      </c>
      <c r="O264" s="1" t="s">
        <v>78</v>
      </c>
    </row>
    <row r="265" spans="1:15" ht="18.95" customHeight="1" x14ac:dyDescent="0.25">
      <c r="A265" s="1" t="s">
        <v>533</v>
      </c>
      <c r="B265" s="30">
        <v>45521.5</v>
      </c>
      <c r="C265" s="1" t="s">
        <v>108</v>
      </c>
      <c r="D265" s="1" t="s">
        <v>109</v>
      </c>
      <c r="E265" s="1" t="s">
        <v>74</v>
      </c>
      <c r="F265" s="1" t="s">
        <v>74</v>
      </c>
      <c r="G265" s="1" t="s">
        <v>151</v>
      </c>
      <c r="H265" s="1" t="s">
        <v>76</v>
      </c>
      <c r="I265" s="31">
        <v>1</v>
      </c>
      <c r="J265" s="32">
        <v>18.989999999999998</v>
      </c>
      <c r="K265" s="32">
        <v>18.989999999999998</v>
      </c>
      <c r="L265" s="32">
        <v>9.2100000000000009</v>
      </c>
      <c r="M265" s="32">
        <v>9.7799999999999994</v>
      </c>
      <c r="N265" s="1" t="s">
        <v>86</v>
      </c>
      <c r="O265" s="1" t="s">
        <v>78</v>
      </c>
    </row>
    <row r="266" spans="1:15" ht="18.95" customHeight="1" x14ac:dyDescent="0.25">
      <c r="A266" s="1" t="s">
        <v>534</v>
      </c>
      <c r="B266" s="30">
        <v>45523.5</v>
      </c>
      <c r="C266" s="1" t="s">
        <v>338</v>
      </c>
      <c r="D266" s="1" t="s">
        <v>339</v>
      </c>
      <c r="E266" s="1" t="s">
        <v>243</v>
      </c>
      <c r="F266" s="1" t="s">
        <v>165</v>
      </c>
      <c r="G266" s="1" t="s">
        <v>84</v>
      </c>
      <c r="H266" s="1" t="s">
        <v>85</v>
      </c>
      <c r="I266" s="31">
        <v>1</v>
      </c>
      <c r="J266" s="32">
        <v>8.09</v>
      </c>
      <c r="K266" s="32">
        <v>8.09</v>
      </c>
      <c r="L266" s="32">
        <v>3.95</v>
      </c>
      <c r="M266" s="32">
        <v>4.1399999999999997</v>
      </c>
      <c r="N266" s="1" t="s">
        <v>100</v>
      </c>
      <c r="O266" s="1" t="s">
        <v>78</v>
      </c>
    </row>
    <row r="267" spans="1:15" ht="18.95" customHeight="1" x14ac:dyDescent="0.25">
      <c r="A267" s="1" t="s">
        <v>535</v>
      </c>
      <c r="B267" s="30">
        <v>45523.5</v>
      </c>
      <c r="C267" s="1" t="s">
        <v>536</v>
      </c>
      <c r="D267" s="1" t="s">
        <v>537</v>
      </c>
      <c r="E267" s="1" t="s">
        <v>136</v>
      </c>
      <c r="F267" s="1" t="s">
        <v>137</v>
      </c>
      <c r="G267" s="1" t="s">
        <v>116</v>
      </c>
      <c r="H267" s="1" t="s">
        <v>76</v>
      </c>
      <c r="I267" s="31">
        <v>1</v>
      </c>
      <c r="J267" s="32">
        <v>14.24</v>
      </c>
      <c r="K267" s="32">
        <v>14.24</v>
      </c>
      <c r="L267" s="32">
        <v>6.78</v>
      </c>
      <c r="M267" s="32">
        <v>7.46</v>
      </c>
      <c r="N267" s="1" t="s">
        <v>111</v>
      </c>
      <c r="O267" s="1" t="s">
        <v>78</v>
      </c>
    </row>
    <row r="268" spans="1:15" ht="18.95" customHeight="1" x14ac:dyDescent="0.25">
      <c r="A268" s="1" t="s">
        <v>538</v>
      </c>
      <c r="B268" s="30">
        <v>45525.5</v>
      </c>
      <c r="C268" s="1" t="s">
        <v>539</v>
      </c>
      <c r="D268" s="1" t="s">
        <v>540</v>
      </c>
      <c r="E268" s="1" t="s">
        <v>212</v>
      </c>
      <c r="F268" s="1" t="s">
        <v>83</v>
      </c>
      <c r="G268" s="1" t="s">
        <v>75</v>
      </c>
      <c r="H268" s="1" t="s">
        <v>76</v>
      </c>
      <c r="I268" s="31">
        <v>3</v>
      </c>
      <c r="J268" s="32">
        <v>26.99</v>
      </c>
      <c r="K268" s="32">
        <v>80.97</v>
      </c>
      <c r="L268" s="32">
        <v>44.13</v>
      </c>
      <c r="M268" s="32">
        <v>36.840000000000003</v>
      </c>
      <c r="N268" s="1" t="s">
        <v>117</v>
      </c>
      <c r="O268" s="1" t="s">
        <v>233</v>
      </c>
    </row>
    <row r="269" spans="1:15" ht="18.95" customHeight="1" x14ac:dyDescent="0.25">
      <c r="A269" s="1" t="s">
        <v>541</v>
      </c>
      <c r="B269" s="30">
        <v>45527.5</v>
      </c>
      <c r="C269" s="1" t="s">
        <v>373</v>
      </c>
      <c r="D269" s="1" t="s">
        <v>374</v>
      </c>
      <c r="E269" s="1" t="s">
        <v>90</v>
      </c>
      <c r="F269" s="1" t="s">
        <v>91</v>
      </c>
      <c r="G269" s="1" t="s">
        <v>157</v>
      </c>
      <c r="H269" s="1" t="s">
        <v>93</v>
      </c>
      <c r="I269" s="31">
        <v>1</v>
      </c>
      <c r="J269" s="32">
        <v>17.989999999999998</v>
      </c>
      <c r="K269" s="32">
        <v>17.989999999999998</v>
      </c>
      <c r="L269" s="32">
        <v>9.7899999999999991</v>
      </c>
      <c r="M269" s="32">
        <v>8.1999999999999993</v>
      </c>
      <c r="N269" s="1" t="s">
        <v>117</v>
      </c>
      <c r="O269" s="1" t="s">
        <v>78</v>
      </c>
    </row>
    <row r="270" spans="1:15" ht="18.95" customHeight="1" x14ac:dyDescent="0.25">
      <c r="A270" s="1" t="s">
        <v>542</v>
      </c>
      <c r="B270" s="30">
        <v>45528.5</v>
      </c>
      <c r="C270" s="1" t="s">
        <v>512</v>
      </c>
      <c r="D270" s="1" t="s">
        <v>513</v>
      </c>
      <c r="E270" s="1" t="s">
        <v>97</v>
      </c>
      <c r="F270" s="1" t="s">
        <v>91</v>
      </c>
      <c r="G270" s="1" t="s">
        <v>132</v>
      </c>
      <c r="H270" s="1" t="s">
        <v>99</v>
      </c>
      <c r="I270" s="31">
        <v>2</v>
      </c>
      <c r="J270" s="32">
        <v>80.989999999999995</v>
      </c>
      <c r="K270" s="32">
        <v>161.97999999999999</v>
      </c>
      <c r="L270" s="32">
        <v>131.75</v>
      </c>
      <c r="M270" s="32">
        <v>30.23</v>
      </c>
      <c r="N270" s="1" t="s">
        <v>86</v>
      </c>
      <c r="O270" s="1" t="s">
        <v>112</v>
      </c>
    </row>
    <row r="271" spans="1:15" ht="18.95" customHeight="1" x14ac:dyDescent="0.25">
      <c r="A271" s="1" t="s">
        <v>543</v>
      </c>
      <c r="B271" s="30">
        <v>45529.5</v>
      </c>
      <c r="C271" s="1" t="s">
        <v>539</v>
      </c>
      <c r="D271" s="1" t="s">
        <v>540</v>
      </c>
      <c r="E271" s="1" t="s">
        <v>212</v>
      </c>
      <c r="F271" s="1" t="s">
        <v>83</v>
      </c>
      <c r="G271" s="1" t="s">
        <v>138</v>
      </c>
      <c r="H271" s="1" t="s">
        <v>99</v>
      </c>
      <c r="I271" s="31">
        <v>1</v>
      </c>
      <c r="J271" s="32">
        <v>33.24</v>
      </c>
      <c r="K271" s="32">
        <v>33.24</v>
      </c>
      <c r="L271" s="32">
        <v>23.93</v>
      </c>
      <c r="M271" s="32">
        <v>9.31</v>
      </c>
      <c r="N271" s="1" t="s">
        <v>77</v>
      </c>
      <c r="O271" s="1" t="s">
        <v>118</v>
      </c>
    </row>
    <row r="272" spans="1:15" ht="18.95" customHeight="1" x14ac:dyDescent="0.25">
      <c r="A272" s="1" t="s">
        <v>543</v>
      </c>
      <c r="B272" s="30">
        <v>45529.5</v>
      </c>
      <c r="C272" s="1" t="s">
        <v>539</v>
      </c>
      <c r="D272" s="1" t="s">
        <v>540</v>
      </c>
      <c r="E272" s="1" t="s">
        <v>212</v>
      </c>
      <c r="F272" s="1" t="s">
        <v>83</v>
      </c>
      <c r="G272" s="1" t="s">
        <v>132</v>
      </c>
      <c r="H272" s="1" t="s">
        <v>99</v>
      </c>
      <c r="I272" s="31">
        <v>1</v>
      </c>
      <c r="J272" s="32">
        <v>89.99</v>
      </c>
      <c r="K272" s="32">
        <v>89.99</v>
      </c>
      <c r="L272" s="32">
        <v>70.19</v>
      </c>
      <c r="M272" s="32">
        <v>19.8</v>
      </c>
      <c r="N272" s="1" t="s">
        <v>77</v>
      </c>
      <c r="O272" s="1" t="s">
        <v>118</v>
      </c>
    </row>
    <row r="273" spans="1:15" ht="18.95" customHeight="1" x14ac:dyDescent="0.25">
      <c r="A273" s="1" t="s">
        <v>544</v>
      </c>
      <c r="B273" s="30">
        <v>45529.5</v>
      </c>
      <c r="C273" s="1" t="s">
        <v>299</v>
      </c>
      <c r="D273" s="1" t="s">
        <v>300</v>
      </c>
      <c r="E273" s="1" t="s">
        <v>174</v>
      </c>
      <c r="F273" s="1" t="s">
        <v>175</v>
      </c>
      <c r="G273" s="1" t="s">
        <v>195</v>
      </c>
      <c r="H273" s="1" t="s">
        <v>128</v>
      </c>
      <c r="I273" s="31">
        <v>2</v>
      </c>
      <c r="J273" s="32">
        <v>139.99</v>
      </c>
      <c r="K273" s="32">
        <v>279.98</v>
      </c>
      <c r="L273" s="32">
        <v>214.18</v>
      </c>
      <c r="M273" s="32">
        <v>65.8</v>
      </c>
      <c r="N273" s="1" t="s">
        <v>100</v>
      </c>
      <c r="O273" s="1" t="s">
        <v>78</v>
      </c>
    </row>
    <row r="274" spans="1:15" ht="18.95" customHeight="1" x14ac:dyDescent="0.25">
      <c r="A274" s="1" t="s">
        <v>545</v>
      </c>
      <c r="B274" s="30">
        <v>45530.5</v>
      </c>
      <c r="C274" s="1" t="s">
        <v>338</v>
      </c>
      <c r="D274" s="1" t="s">
        <v>339</v>
      </c>
      <c r="E274" s="1" t="s">
        <v>243</v>
      </c>
      <c r="F274" s="1" t="s">
        <v>165</v>
      </c>
      <c r="G274" s="1" t="s">
        <v>139</v>
      </c>
      <c r="H274" s="1" t="s">
        <v>128</v>
      </c>
      <c r="I274" s="31">
        <v>2</v>
      </c>
      <c r="J274" s="32">
        <v>69.989999999999995</v>
      </c>
      <c r="K274" s="32">
        <v>139.97999999999999</v>
      </c>
      <c r="L274" s="32">
        <v>93.09</v>
      </c>
      <c r="M274" s="32">
        <v>46.89</v>
      </c>
      <c r="N274" s="1" t="s">
        <v>77</v>
      </c>
      <c r="O274" s="1" t="s">
        <v>78</v>
      </c>
    </row>
    <row r="275" spans="1:15" ht="18.95" customHeight="1" x14ac:dyDescent="0.25">
      <c r="A275" s="1" t="s">
        <v>546</v>
      </c>
      <c r="B275" s="30">
        <v>45530.5</v>
      </c>
      <c r="C275" s="1" t="s">
        <v>402</v>
      </c>
      <c r="D275" s="1" t="s">
        <v>403</v>
      </c>
      <c r="E275" s="1" t="s">
        <v>104</v>
      </c>
      <c r="F275" s="1" t="s">
        <v>105</v>
      </c>
      <c r="G275" s="1" t="s">
        <v>138</v>
      </c>
      <c r="H275" s="1" t="s">
        <v>99</v>
      </c>
      <c r="I275" s="31">
        <v>1</v>
      </c>
      <c r="J275" s="32">
        <v>34.99</v>
      </c>
      <c r="K275" s="32">
        <v>34.99</v>
      </c>
      <c r="L275" s="32">
        <v>22.22</v>
      </c>
      <c r="M275" s="32">
        <v>12.77</v>
      </c>
      <c r="N275" s="1" t="s">
        <v>86</v>
      </c>
      <c r="O275" s="1" t="s">
        <v>233</v>
      </c>
    </row>
    <row r="276" spans="1:15" ht="18.95" customHeight="1" x14ac:dyDescent="0.25">
      <c r="A276" s="1" t="s">
        <v>546</v>
      </c>
      <c r="B276" s="30">
        <v>45530.5</v>
      </c>
      <c r="C276" s="1" t="s">
        <v>402</v>
      </c>
      <c r="D276" s="1" t="s">
        <v>403</v>
      </c>
      <c r="E276" s="1" t="s">
        <v>104</v>
      </c>
      <c r="F276" s="1" t="s">
        <v>105</v>
      </c>
      <c r="G276" s="1" t="s">
        <v>84</v>
      </c>
      <c r="H276" s="1" t="s">
        <v>85</v>
      </c>
      <c r="I276" s="31">
        <v>1</v>
      </c>
      <c r="J276" s="32">
        <v>8.99</v>
      </c>
      <c r="K276" s="32">
        <v>8.99</v>
      </c>
      <c r="L276" s="32">
        <v>4.09</v>
      </c>
      <c r="M276" s="32">
        <v>4.9000000000000004</v>
      </c>
      <c r="N276" s="1" t="s">
        <v>86</v>
      </c>
      <c r="O276" s="1" t="s">
        <v>233</v>
      </c>
    </row>
    <row r="277" spans="1:15" ht="18.95" customHeight="1" x14ac:dyDescent="0.25">
      <c r="A277" s="1" t="s">
        <v>547</v>
      </c>
      <c r="B277" s="30">
        <v>45531.5</v>
      </c>
      <c r="C277" s="1" t="s">
        <v>373</v>
      </c>
      <c r="D277" s="1" t="s">
        <v>374</v>
      </c>
      <c r="E277" s="1" t="s">
        <v>90</v>
      </c>
      <c r="F277" s="1" t="s">
        <v>91</v>
      </c>
      <c r="G277" s="1" t="s">
        <v>179</v>
      </c>
      <c r="H277" s="1" t="s">
        <v>128</v>
      </c>
      <c r="I277" s="31">
        <v>1</v>
      </c>
      <c r="J277" s="32">
        <v>37.99</v>
      </c>
      <c r="K277" s="32">
        <v>37.99</v>
      </c>
      <c r="L277" s="32">
        <v>22.88</v>
      </c>
      <c r="M277" s="32">
        <v>15.11</v>
      </c>
      <c r="N277" s="1" t="s">
        <v>117</v>
      </c>
      <c r="O277" s="1" t="s">
        <v>78</v>
      </c>
    </row>
    <row r="278" spans="1:15" ht="18.95" customHeight="1" x14ac:dyDescent="0.25">
      <c r="A278" s="1" t="s">
        <v>548</v>
      </c>
      <c r="B278" s="30">
        <v>45533.5</v>
      </c>
      <c r="C278" s="1" t="s">
        <v>296</v>
      </c>
      <c r="D278" s="1" t="s">
        <v>297</v>
      </c>
      <c r="E278" s="1" t="s">
        <v>174</v>
      </c>
      <c r="F278" s="1" t="s">
        <v>175</v>
      </c>
      <c r="G278" s="1" t="s">
        <v>322</v>
      </c>
      <c r="H278" s="1" t="s">
        <v>128</v>
      </c>
      <c r="I278" s="31">
        <v>1</v>
      </c>
      <c r="J278" s="32">
        <v>56.99</v>
      </c>
      <c r="K278" s="32">
        <v>56.99</v>
      </c>
      <c r="L278" s="32">
        <v>40.93</v>
      </c>
      <c r="M278" s="32">
        <v>16.059999999999999</v>
      </c>
      <c r="N278" s="1" t="s">
        <v>77</v>
      </c>
      <c r="O278" s="1" t="s">
        <v>78</v>
      </c>
    </row>
    <row r="279" spans="1:15" ht="18.95" customHeight="1" x14ac:dyDescent="0.25">
      <c r="A279" s="1" t="s">
        <v>548</v>
      </c>
      <c r="B279" s="30">
        <v>45533.5</v>
      </c>
      <c r="C279" s="1" t="s">
        <v>296</v>
      </c>
      <c r="D279" s="1" t="s">
        <v>297</v>
      </c>
      <c r="E279" s="1" t="s">
        <v>174</v>
      </c>
      <c r="F279" s="1" t="s">
        <v>175</v>
      </c>
      <c r="G279" s="1" t="s">
        <v>179</v>
      </c>
      <c r="H279" s="1" t="s">
        <v>128</v>
      </c>
      <c r="I279" s="31">
        <v>2</v>
      </c>
      <c r="J279" s="32">
        <v>39.99</v>
      </c>
      <c r="K279" s="32">
        <v>79.98</v>
      </c>
      <c r="L279" s="32">
        <v>45.99</v>
      </c>
      <c r="M279" s="32">
        <v>33.99</v>
      </c>
      <c r="N279" s="1" t="s">
        <v>77</v>
      </c>
      <c r="O279" s="1" t="s">
        <v>78</v>
      </c>
    </row>
    <row r="280" spans="1:15" ht="18.95" customHeight="1" x14ac:dyDescent="0.25">
      <c r="A280" s="1" t="s">
        <v>549</v>
      </c>
      <c r="B280" s="30">
        <v>45535.5</v>
      </c>
      <c r="C280" s="1" t="s">
        <v>344</v>
      </c>
      <c r="D280" s="1" t="s">
        <v>345</v>
      </c>
      <c r="E280" s="1" t="s">
        <v>74</v>
      </c>
      <c r="F280" s="1" t="s">
        <v>74</v>
      </c>
      <c r="G280" s="1" t="s">
        <v>226</v>
      </c>
      <c r="H280" s="1" t="s">
        <v>85</v>
      </c>
      <c r="I280" s="31">
        <v>1</v>
      </c>
      <c r="J280" s="32">
        <v>74.989999999999995</v>
      </c>
      <c r="K280" s="32">
        <v>74.989999999999995</v>
      </c>
      <c r="L280" s="32">
        <v>52.49</v>
      </c>
      <c r="M280" s="32">
        <v>22.5</v>
      </c>
      <c r="N280" s="1" t="s">
        <v>315</v>
      </c>
      <c r="O280" s="1" t="s">
        <v>112</v>
      </c>
    </row>
    <row r="281" spans="1:15" ht="18.95" customHeight="1" x14ac:dyDescent="0.25">
      <c r="A281" s="1" t="s">
        <v>550</v>
      </c>
      <c r="B281" s="30">
        <v>45535.5</v>
      </c>
      <c r="C281" s="1" t="s">
        <v>551</v>
      </c>
      <c r="D281" s="1" t="s">
        <v>552</v>
      </c>
      <c r="E281" s="1" t="s">
        <v>193</v>
      </c>
      <c r="F281" s="1" t="s">
        <v>194</v>
      </c>
      <c r="G281" s="1" t="s">
        <v>84</v>
      </c>
      <c r="H281" s="1" t="s">
        <v>85</v>
      </c>
      <c r="I281" s="31">
        <v>2</v>
      </c>
      <c r="J281" s="32">
        <v>8.5399999999999991</v>
      </c>
      <c r="K281" s="32">
        <v>17.079999999999998</v>
      </c>
      <c r="L281" s="32">
        <v>7.95</v>
      </c>
      <c r="M281" s="32">
        <v>9.1300000000000008</v>
      </c>
      <c r="N281" s="1" t="s">
        <v>77</v>
      </c>
      <c r="O281" s="1" t="s">
        <v>78</v>
      </c>
    </row>
    <row r="282" spans="1:15" ht="18.95" customHeight="1" x14ac:dyDescent="0.25">
      <c r="A282" s="1" t="s">
        <v>550</v>
      </c>
      <c r="B282" s="30">
        <v>45535.5</v>
      </c>
      <c r="C282" s="1" t="s">
        <v>551</v>
      </c>
      <c r="D282" s="1" t="s">
        <v>552</v>
      </c>
      <c r="E282" s="1" t="s">
        <v>193</v>
      </c>
      <c r="F282" s="1" t="s">
        <v>194</v>
      </c>
      <c r="G282" s="1" t="s">
        <v>306</v>
      </c>
      <c r="H282" s="1" t="s">
        <v>76</v>
      </c>
      <c r="I282" s="31">
        <v>1</v>
      </c>
      <c r="J282" s="32">
        <v>21.24</v>
      </c>
      <c r="K282" s="32">
        <v>21.24</v>
      </c>
      <c r="L282" s="32">
        <v>12.66</v>
      </c>
      <c r="M282" s="32">
        <v>8.58</v>
      </c>
      <c r="N282" s="1" t="s">
        <v>77</v>
      </c>
      <c r="O282" s="1" t="s">
        <v>78</v>
      </c>
    </row>
    <row r="283" spans="1:15" ht="18.95" customHeight="1" x14ac:dyDescent="0.25">
      <c r="A283" s="1" t="s">
        <v>550</v>
      </c>
      <c r="B283" s="30">
        <v>45535.5</v>
      </c>
      <c r="C283" s="1" t="s">
        <v>551</v>
      </c>
      <c r="D283" s="1" t="s">
        <v>552</v>
      </c>
      <c r="E283" s="1" t="s">
        <v>193</v>
      </c>
      <c r="F283" s="1" t="s">
        <v>194</v>
      </c>
      <c r="G283" s="1" t="s">
        <v>202</v>
      </c>
      <c r="H283" s="1" t="s">
        <v>85</v>
      </c>
      <c r="I283" s="31">
        <v>2</v>
      </c>
      <c r="J283" s="32">
        <v>6.39</v>
      </c>
      <c r="K283" s="32">
        <v>12.78</v>
      </c>
      <c r="L283" s="32">
        <v>8.3699999999999992</v>
      </c>
      <c r="M283" s="32">
        <v>4.41</v>
      </c>
      <c r="N283" s="1" t="s">
        <v>77</v>
      </c>
      <c r="O283" s="1" t="s">
        <v>78</v>
      </c>
    </row>
    <row r="284" spans="1:15" ht="18.95" customHeight="1" x14ac:dyDescent="0.25">
      <c r="A284" s="1" t="s">
        <v>553</v>
      </c>
      <c r="B284" s="30">
        <v>45537.5</v>
      </c>
      <c r="C284" s="1" t="s">
        <v>554</v>
      </c>
      <c r="D284" s="1" t="s">
        <v>555</v>
      </c>
      <c r="E284" s="1" t="s">
        <v>212</v>
      </c>
      <c r="F284" s="1" t="s">
        <v>83</v>
      </c>
      <c r="G284" s="1" t="s">
        <v>202</v>
      </c>
      <c r="H284" s="1" t="s">
        <v>85</v>
      </c>
      <c r="I284" s="31">
        <v>2</v>
      </c>
      <c r="J284" s="32">
        <v>7.59</v>
      </c>
      <c r="K284" s="32">
        <v>15.18</v>
      </c>
      <c r="L284" s="32">
        <v>8.66</v>
      </c>
      <c r="M284" s="32">
        <v>6.52</v>
      </c>
      <c r="N284" s="1" t="s">
        <v>117</v>
      </c>
      <c r="O284" s="1" t="s">
        <v>233</v>
      </c>
    </row>
    <row r="285" spans="1:15" ht="18.95" customHeight="1" x14ac:dyDescent="0.25">
      <c r="A285" s="1" t="s">
        <v>553</v>
      </c>
      <c r="B285" s="30">
        <v>45537.5</v>
      </c>
      <c r="C285" s="1" t="s">
        <v>554</v>
      </c>
      <c r="D285" s="1" t="s">
        <v>555</v>
      </c>
      <c r="E285" s="1" t="s">
        <v>212</v>
      </c>
      <c r="F285" s="1" t="s">
        <v>83</v>
      </c>
      <c r="G285" s="1" t="s">
        <v>143</v>
      </c>
      <c r="H285" s="1" t="s">
        <v>128</v>
      </c>
      <c r="I285" s="31">
        <v>1</v>
      </c>
      <c r="J285" s="32">
        <v>90.24</v>
      </c>
      <c r="K285" s="32">
        <v>90.24</v>
      </c>
      <c r="L285" s="32">
        <v>74.260000000000005</v>
      </c>
      <c r="M285" s="32">
        <v>15.98</v>
      </c>
      <c r="N285" s="1" t="s">
        <v>117</v>
      </c>
      <c r="O285" s="1" t="s">
        <v>233</v>
      </c>
    </row>
    <row r="286" spans="1:15" ht="18.95" customHeight="1" x14ac:dyDescent="0.25">
      <c r="A286" s="1" t="s">
        <v>553</v>
      </c>
      <c r="B286" s="30">
        <v>45537.5</v>
      </c>
      <c r="C286" s="1" t="s">
        <v>554</v>
      </c>
      <c r="D286" s="1" t="s">
        <v>555</v>
      </c>
      <c r="E286" s="1" t="s">
        <v>212</v>
      </c>
      <c r="F286" s="1" t="s">
        <v>83</v>
      </c>
      <c r="G286" s="1" t="s">
        <v>139</v>
      </c>
      <c r="H286" s="1" t="s">
        <v>128</v>
      </c>
      <c r="I286" s="31">
        <v>3</v>
      </c>
      <c r="J286" s="32">
        <v>69.989999999999995</v>
      </c>
      <c r="K286" s="32">
        <v>209.97</v>
      </c>
      <c r="L286" s="32">
        <v>141.72999999999999</v>
      </c>
      <c r="M286" s="32">
        <v>68.239999999999995</v>
      </c>
      <c r="N286" s="1" t="s">
        <v>117</v>
      </c>
      <c r="O286" s="1" t="s">
        <v>233</v>
      </c>
    </row>
    <row r="287" spans="1:15" ht="18.95" customHeight="1" x14ac:dyDescent="0.25">
      <c r="A287" s="1" t="s">
        <v>556</v>
      </c>
      <c r="B287" s="30">
        <v>45539.5</v>
      </c>
      <c r="C287" s="1" t="s">
        <v>557</v>
      </c>
      <c r="D287" s="1" t="s">
        <v>558</v>
      </c>
      <c r="E287" s="1" t="s">
        <v>174</v>
      </c>
      <c r="F287" s="1" t="s">
        <v>175</v>
      </c>
      <c r="G287" s="1" t="s">
        <v>143</v>
      </c>
      <c r="H287" s="1" t="s">
        <v>128</v>
      </c>
      <c r="I287" s="31">
        <v>1</v>
      </c>
      <c r="J287" s="32">
        <v>94.99</v>
      </c>
      <c r="K287" s="32">
        <v>94.99</v>
      </c>
      <c r="L287" s="32">
        <v>73.62</v>
      </c>
      <c r="M287" s="32">
        <v>21.37</v>
      </c>
      <c r="N287" s="1" t="s">
        <v>117</v>
      </c>
      <c r="O287" s="1" t="s">
        <v>78</v>
      </c>
    </row>
    <row r="288" spans="1:15" ht="18.95" customHeight="1" x14ac:dyDescent="0.25">
      <c r="A288" s="1" t="s">
        <v>559</v>
      </c>
      <c r="B288" s="30">
        <v>45541.5</v>
      </c>
      <c r="C288" s="1" t="s">
        <v>560</v>
      </c>
      <c r="D288" s="1" t="s">
        <v>561</v>
      </c>
      <c r="E288" s="1" t="s">
        <v>74</v>
      </c>
      <c r="F288" s="1" t="s">
        <v>74</v>
      </c>
      <c r="G288" s="1" t="s">
        <v>110</v>
      </c>
      <c r="H288" s="1" t="s">
        <v>85</v>
      </c>
      <c r="I288" s="31">
        <v>1</v>
      </c>
      <c r="J288" s="32">
        <v>12.99</v>
      </c>
      <c r="K288" s="32">
        <v>12.99</v>
      </c>
      <c r="L288" s="32">
        <v>6.17</v>
      </c>
      <c r="M288" s="32">
        <v>6.82</v>
      </c>
      <c r="N288" s="1" t="s">
        <v>111</v>
      </c>
      <c r="O288" s="1" t="s">
        <v>78</v>
      </c>
    </row>
    <row r="289" spans="1:15" ht="18.95" customHeight="1" x14ac:dyDescent="0.25">
      <c r="A289" s="1" t="s">
        <v>559</v>
      </c>
      <c r="B289" s="30">
        <v>45541.5</v>
      </c>
      <c r="C289" s="1" t="s">
        <v>560</v>
      </c>
      <c r="D289" s="1" t="s">
        <v>561</v>
      </c>
      <c r="E289" s="1" t="s">
        <v>74</v>
      </c>
      <c r="F289" s="1" t="s">
        <v>74</v>
      </c>
      <c r="G289" s="1" t="s">
        <v>189</v>
      </c>
      <c r="H289" s="1" t="s">
        <v>93</v>
      </c>
      <c r="I289" s="31">
        <v>1</v>
      </c>
      <c r="J289" s="32">
        <v>44.99</v>
      </c>
      <c r="K289" s="32">
        <v>44.99</v>
      </c>
      <c r="L289" s="32">
        <v>26.77</v>
      </c>
      <c r="M289" s="32">
        <v>18.22</v>
      </c>
      <c r="N289" s="1" t="s">
        <v>111</v>
      </c>
      <c r="O289" s="1" t="s">
        <v>78</v>
      </c>
    </row>
    <row r="290" spans="1:15" ht="18.95" customHeight="1" x14ac:dyDescent="0.25">
      <c r="A290" s="1" t="s">
        <v>562</v>
      </c>
      <c r="B290" s="30">
        <v>45542.5</v>
      </c>
      <c r="C290" s="1" t="s">
        <v>563</v>
      </c>
      <c r="D290" s="1" t="s">
        <v>564</v>
      </c>
      <c r="E290" s="1" t="s">
        <v>150</v>
      </c>
      <c r="F290" s="1" t="s">
        <v>105</v>
      </c>
      <c r="G290" s="1" t="s">
        <v>84</v>
      </c>
      <c r="H290" s="1" t="s">
        <v>85</v>
      </c>
      <c r="I290" s="31">
        <v>6</v>
      </c>
      <c r="J290" s="32">
        <v>7.19</v>
      </c>
      <c r="K290" s="32">
        <v>43.14</v>
      </c>
      <c r="L290" s="32">
        <v>23.84</v>
      </c>
      <c r="M290" s="32">
        <v>19.3</v>
      </c>
      <c r="N290" s="1" t="s">
        <v>117</v>
      </c>
      <c r="O290" s="1" t="s">
        <v>233</v>
      </c>
    </row>
    <row r="291" spans="1:15" ht="18.95" customHeight="1" x14ac:dyDescent="0.25">
      <c r="A291" s="1" t="s">
        <v>562</v>
      </c>
      <c r="B291" s="30">
        <v>45542.5</v>
      </c>
      <c r="C291" s="1" t="s">
        <v>563</v>
      </c>
      <c r="D291" s="1" t="s">
        <v>564</v>
      </c>
      <c r="E291" s="1" t="s">
        <v>150</v>
      </c>
      <c r="F291" s="1" t="s">
        <v>105</v>
      </c>
      <c r="G291" s="1" t="s">
        <v>151</v>
      </c>
      <c r="H291" s="1" t="s">
        <v>76</v>
      </c>
      <c r="I291" s="31">
        <v>2</v>
      </c>
      <c r="J291" s="32">
        <v>18.989999999999998</v>
      </c>
      <c r="K291" s="32">
        <v>37.979999999999997</v>
      </c>
      <c r="L291" s="32">
        <v>18.8</v>
      </c>
      <c r="M291" s="32">
        <v>19.18</v>
      </c>
      <c r="N291" s="1" t="s">
        <v>117</v>
      </c>
      <c r="O291" s="1" t="s">
        <v>233</v>
      </c>
    </row>
    <row r="292" spans="1:15" ht="18.95" customHeight="1" x14ac:dyDescent="0.25">
      <c r="A292" s="1" t="s">
        <v>562</v>
      </c>
      <c r="B292" s="30">
        <v>45542.5</v>
      </c>
      <c r="C292" s="1" t="s">
        <v>563</v>
      </c>
      <c r="D292" s="1" t="s">
        <v>564</v>
      </c>
      <c r="E292" s="1" t="s">
        <v>150</v>
      </c>
      <c r="F292" s="1" t="s">
        <v>105</v>
      </c>
      <c r="G292" s="1" t="s">
        <v>75</v>
      </c>
      <c r="H292" s="1" t="s">
        <v>76</v>
      </c>
      <c r="I292" s="31">
        <v>5</v>
      </c>
      <c r="J292" s="32">
        <v>26.99</v>
      </c>
      <c r="K292" s="32">
        <v>134.94999999999999</v>
      </c>
      <c r="L292" s="32">
        <v>73.55</v>
      </c>
      <c r="M292" s="32">
        <v>61.4</v>
      </c>
      <c r="N292" s="1" t="s">
        <v>117</v>
      </c>
      <c r="O292" s="1" t="s">
        <v>233</v>
      </c>
    </row>
    <row r="293" spans="1:15" ht="18.95" customHeight="1" x14ac:dyDescent="0.25">
      <c r="A293" s="1" t="s">
        <v>565</v>
      </c>
      <c r="B293" s="30">
        <v>45542.5</v>
      </c>
      <c r="C293" s="1" t="s">
        <v>191</v>
      </c>
      <c r="D293" s="1" t="s">
        <v>192</v>
      </c>
      <c r="E293" s="1" t="s">
        <v>193</v>
      </c>
      <c r="F293" s="1" t="s">
        <v>194</v>
      </c>
      <c r="G293" s="1" t="s">
        <v>143</v>
      </c>
      <c r="H293" s="1" t="s">
        <v>128</v>
      </c>
      <c r="I293" s="31">
        <v>1</v>
      </c>
      <c r="J293" s="32">
        <v>90.24</v>
      </c>
      <c r="K293" s="32">
        <v>90.24</v>
      </c>
      <c r="L293" s="32">
        <v>73.36</v>
      </c>
      <c r="M293" s="32">
        <v>16.88</v>
      </c>
      <c r="N293" s="1" t="s">
        <v>86</v>
      </c>
      <c r="O293" s="1" t="s">
        <v>78</v>
      </c>
    </row>
    <row r="294" spans="1:15" ht="18.95" customHeight="1" x14ac:dyDescent="0.25">
      <c r="A294" s="1" t="s">
        <v>566</v>
      </c>
      <c r="B294" s="30">
        <v>45543.5</v>
      </c>
      <c r="C294" s="1" t="s">
        <v>186</v>
      </c>
      <c r="D294" s="1" t="s">
        <v>187</v>
      </c>
      <c r="E294" s="1" t="s">
        <v>169</v>
      </c>
      <c r="F294" s="1" t="s">
        <v>170</v>
      </c>
      <c r="G294" s="1" t="s">
        <v>75</v>
      </c>
      <c r="H294" s="1" t="s">
        <v>76</v>
      </c>
      <c r="I294" s="31">
        <v>1</v>
      </c>
      <c r="J294" s="32">
        <v>26.99</v>
      </c>
      <c r="K294" s="32">
        <v>26.99</v>
      </c>
      <c r="L294" s="32">
        <v>14.44</v>
      </c>
      <c r="M294" s="32">
        <v>12.55</v>
      </c>
      <c r="N294" s="1" t="s">
        <v>86</v>
      </c>
      <c r="O294" s="1" t="s">
        <v>78</v>
      </c>
    </row>
    <row r="295" spans="1:15" ht="18.95" customHeight="1" x14ac:dyDescent="0.25">
      <c r="A295" s="1" t="s">
        <v>566</v>
      </c>
      <c r="B295" s="30">
        <v>45543.5</v>
      </c>
      <c r="C295" s="1" t="s">
        <v>186</v>
      </c>
      <c r="D295" s="1" t="s">
        <v>187</v>
      </c>
      <c r="E295" s="1" t="s">
        <v>169</v>
      </c>
      <c r="F295" s="1" t="s">
        <v>170</v>
      </c>
      <c r="G295" s="1" t="s">
        <v>202</v>
      </c>
      <c r="H295" s="1" t="s">
        <v>85</v>
      </c>
      <c r="I295" s="31">
        <v>2</v>
      </c>
      <c r="J295" s="32">
        <v>7.99</v>
      </c>
      <c r="K295" s="32">
        <v>15.98</v>
      </c>
      <c r="L295" s="32">
        <v>8.5500000000000007</v>
      </c>
      <c r="M295" s="32">
        <v>7.43</v>
      </c>
      <c r="N295" s="1" t="s">
        <v>86</v>
      </c>
      <c r="O295" s="1" t="s">
        <v>78</v>
      </c>
    </row>
    <row r="296" spans="1:15" ht="18.95" customHeight="1" x14ac:dyDescent="0.25">
      <c r="A296" s="1" t="s">
        <v>567</v>
      </c>
      <c r="B296" s="30">
        <v>45545.5</v>
      </c>
      <c r="C296" s="1" t="s">
        <v>282</v>
      </c>
      <c r="D296" s="1" t="s">
        <v>283</v>
      </c>
      <c r="E296" s="1" t="s">
        <v>164</v>
      </c>
      <c r="F296" s="1" t="s">
        <v>165</v>
      </c>
      <c r="G296" s="1" t="s">
        <v>143</v>
      </c>
      <c r="H296" s="1" t="s">
        <v>128</v>
      </c>
      <c r="I296" s="31">
        <v>1</v>
      </c>
      <c r="J296" s="32">
        <v>94.99</v>
      </c>
      <c r="K296" s="32">
        <v>94.99</v>
      </c>
      <c r="L296" s="32">
        <v>79.790000000000006</v>
      </c>
      <c r="M296" s="32">
        <v>15.2</v>
      </c>
      <c r="N296" s="1" t="s">
        <v>77</v>
      </c>
      <c r="O296" s="1" t="s">
        <v>118</v>
      </c>
    </row>
    <row r="297" spans="1:15" ht="18.95" customHeight="1" x14ac:dyDescent="0.25">
      <c r="A297" s="1" t="s">
        <v>568</v>
      </c>
      <c r="B297" s="30">
        <v>45545.5</v>
      </c>
      <c r="C297" s="1" t="s">
        <v>508</v>
      </c>
      <c r="D297" s="1" t="s">
        <v>509</v>
      </c>
      <c r="E297" s="1" t="s">
        <v>150</v>
      </c>
      <c r="F297" s="1" t="s">
        <v>105</v>
      </c>
      <c r="G297" s="1" t="s">
        <v>322</v>
      </c>
      <c r="H297" s="1" t="s">
        <v>128</v>
      </c>
      <c r="I297" s="31">
        <v>1</v>
      </c>
      <c r="J297" s="32">
        <v>47.99</v>
      </c>
      <c r="K297" s="32">
        <v>47.99</v>
      </c>
      <c r="L297" s="32">
        <v>41.63</v>
      </c>
      <c r="M297" s="32">
        <v>6.36</v>
      </c>
      <c r="N297" s="1" t="s">
        <v>117</v>
      </c>
      <c r="O297" s="1" t="s">
        <v>112</v>
      </c>
    </row>
    <row r="298" spans="1:15" ht="18.95" customHeight="1" x14ac:dyDescent="0.25">
      <c r="A298" s="1" t="s">
        <v>569</v>
      </c>
      <c r="B298" s="30">
        <v>45546.5</v>
      </c>
      <c r="C298" s="1" t="s">
        <v>344</v>
      </c>
      <c r="D298" s="1" t="s">
        <v>345</v>
      </c>
      <c r="E298" s="1" t="s">
        <v>74</v>
      </c>
      <c r="F298" s="1" t="s">
        <v>74</v>
      </c>
      <c r="G298" s="1" t="s">
        <v>138</v>
      </c>
      <c r="H298" s="1" t="s">
        <v>99</v>
      </c>
      <c r="I298" s="31">
        <v>2</v>
      </c>
      <c r="J298" s="32">
        <v>34.99</v>
      </c>
      <c r="K298" s="32">
        <v>69.98</v>
      </c>
      <c r="L298" s="32">
        <v>48.29</v>
      </c>
      <c r="M298" s="32">
        <v>21.69</v>
      </c>
      <c r="N298" s="1" t="s">
        <v>77</v>
      </c>
      <c r="O298" s="1" t="s">
        <v>118</v>
      </c>
    </row>
    <row r="299" spans="1:15" ht="18.95" customHeight="1" x14ac:dyDescent="0.25">
      <c r="A299" s="1" t="s">
        <v>570</v>
      </c>
      <c r="B299" s="30">
        <v>45546.5</v>
      </c>
      <c r="C299" s="1" t="s">
        <v>571</v>
      </c>
      <c r="D299" s="1" t="s">
        <v>572</v>
      </c>
      <c r="E299" s="1" t="s">
        <v>174</v>
      </c>
      <c r="F299" s="1" t="s">
        <v>175</v>
      </c>
      <c r="G299" s="1" t="s">
        <v>116</v>
      </c>
      <c r="H299" s="1" t="s">
        <v>76</v>
      </c>
      <c r="I299" s="31">
        <v>2</v>
      </c>
      <c r="J299" s="32">
        <v>13.49</v>
      </c>
      <c r="K299" s="32">
        <v>26.98</v>
      </c>
      <c r="L299" s="32">
        <v>13.48</v>
      </c>
      <c r="M299" s="32">
        <v>13.5</v>
      </c>
      <c r="N299" s="1" t="s">
        <v>77</v>
      </c>
      <c r="O299" s="1" t="s">
        <v>78</v>
      </c>
    </row>
    <row r="300" spans="1:15" ht="18.95" customHeight="1" x14ac:dyDescent="0.25">
      <c r="A300" s="1" t="s">
        <v>570</v>
      </c>
      <c r="B300" s="30">
        <v>45546.5</v>
      </c>
      <c r="C300" s="1" t="s">
        <v>571</v>
      </c>
      <c r="D300" s="1" t="s">
        <v>572</v>
      </c>
      <c r="E300" s="1" t="s">
        <v>174</v>
      </c>
      <c r="F300" s="1" t="s">
        <v>175</v>
      </c>
      <c r="G300" s="1" t="s">
        <v>202</v>
      </c>
      <c r="H300" s="1" t="s">
        <v>85</v>
      </c>
      <c r="I300" s="31">
        <v>1</v>
      </c>
      <c r="J300" s="32">
        <v>7.99</v>
      </c>
      <c r="K300" s="32">
        <v>7.99</v>
      </c>
      <c r="L300" s="32">
        <v>4.2699999999999996</v>
      </c>
      <c r="M300" s="32">
        <v>3.72</v>
      </c>
      <c r="N300" s="1" t="s">
        <v>77</v>
      </c>
      <c r="O300" s="1" t="s">
        <v>78</v>
      </c>
    </row>
    <row r="301" spans="1:15" ht="18.95" customHeight="1" x14ac:dyDescent="0.25">
      <c r="A301" s="1" t="s">
        <v>573</v>
      </c>
      <c r="B301" s="30">
        <v>45546.5</v>
      </c>
      <c r="C301" s="1" t="s">
        <v>574</v>
      </c>
      <c r="D301" s="1" t="s">
        <v>575</v>
      </c>
      <c r="E301" s="1" t="s">
        <v>104</v>
      </c>
      <c r="F301" s="1" t="s">
        <v>105</v>
      </c>
      <c r="G301" s="1" t="s">
        <v>84</v>
      </c>
      <c r="H301" s="1" t="s">
        <v>85</v>
      </c>
      <c r="I301" s="31">
        <v>1</v>
      </c>
      <c r="J301" s="32">
        <v>8.99</v>
      </c>
      <c r="K301" s="32">
        <v>8.99</v>
      </c>
      <c r="L301" s="32">
        <v>4.2300000000000004</v>
      </c>
      <c r="M301" s="32">
        <v>4.76</v>
      </c>
      <c r="N301" s="1" t="s">
        <v>117</v>
      </c>
      <c r="O301" s="1" t="s">
        <v>112</v>
      </c>
    </row>
    <row r="302" spans="1:15" ht="18.95" customHeight="1" x14ac:dyDescent="0.25">
      <c r="A302" s="1" t="s">
        <v>576</v>
      </c>
      <c r="B302" s="30">
        <v>45547.5</v>
      </c>
      <c r="C302" s="1" t="s">
        <v>228</v>
      </c>
      <c r="D302" s="1" t="s">
        <v>229</v>
      </c>
      <c r="E302" s="1" t="s">
        <v>212</v>
      </c>
      <c r="F302" s="1" t="s">
        <v>83</v>
      </c>
      <c r="G302" s="1" t="s">
        <v>92</v>
      </c>
      <c r="H302" s="1" t="s">
        <v>93</v>
      </c>
      <c r="I302" s="31">
        <v>3</v>
      </c>
      <c r="J302" s="32">
        <v>66.489999999999995</v>
      </c>
      <c r="K302" s="32">
        <v>199.47</v>
      </c>
      <c r="L302" s="32">
        <v>152.02000000000001</v>
      </c>
      <c r="M302" s="32">
        <v>47.45</v>
      </c>
      <c r="N302" s="1" t="s">
        <v>86</v>
      </c>
      <c r="O302" s="1" t="s">
        <v>118</v>
      </c>
    </row>
    <row r="303" spans="1:15" ht="18.95" customHeight="1" x14ac:dyDescent="0.25">
      <c r="A303" s="1" t="s">
        <v>577</v>
      </c>
      <c r="B303" s="30">
        <v>45547.5</v>
      </c>
      <c r="C303" s="1" t="s">
        <v>505</v>
      </c>
      <c r="D303" s="1" t="s">
        <v>506</v>
      </c>
      <c r="E303" s="1" t="s">
        <v>74</v>
      </c>
      <c r="F303" s="1" t="s">
        <v>74</v>
      </c>
      <c r="G303" s="1" t="s">
        <v>189</v>
      </c>
      <c r="H303" s="1" t="s">
        <v>93</v>
      </c>
      <c r="I303" s="31">
        <v>2</v>
      </c>
      <c r="J303" s="32">
        <v>40.49</v>
      </c>
      <c r="K303" s="32">
        <v>80.98</v>
      </c>
      <c r="L303" s="32">
        <v>55.07</v>
      </c>
      <c r="M303" s="32">
        <v>25.91</v>
      </c>
      <c r="N303" s="1" t="s">
        <v>117</v>
      </c>
      <c r="O303" s="1" t="s">
        <v>112</v>
      </c>
    </row>
    <row r="304" spans="1:15" ht="18.95" customHeight="1" x14ac:dyDescent="0.25">
      <c r="A304" s="1" t="s">
        <v>578</v>
      </c>
      <c r="B304" s="30">
        <v>45547.5</v>
      </c>
      <c r="C304" s="1" t="s">
        <v>579</v>
      </c>
      <c r="D304" s="1" t="s">
        <v>580</v>
      </c>
      <c r="E304" s="1" t="s">
        <v>330</v>
      </c>
      <c r="F304" s="1" t="s">
        <v>238</v>
      </c>
      <c r="G304" s="1" t="s">
        <v>319</v>
      </c>
      <c r="H304" s="1" t="s">
        <v>128</v>
      </c>
      <c r="I304" s="31">
        <v>3</v>
      </c>
      <c r="J304" s="32">
        <v>46.74</v>
      </c>
      <c r="K304" s="32">
        <v>140.22</v>
      </c>
      <c r="L304" s="32">
        <v>108.1</v>
      </c>
      <c r="M304" s="32">
        <v>32.119999999999997</v>
      </c>
      <c r="N304" s="1" t="s">
        <v>117</v>
      </c>
      <c r="O304" s="1" t="s">
        <v>233</v>
      </c>
    </row>
    <row r="305" spans="1:15" ht="18.95" customHeight="1" x14ac:dyDescent="0.25">
      <c r="A305" s="1" t="s">
        <v>581</v>
      </c>
      <c r="B305" s="30">
        <v>45548.5</v>
      </c>
      <c r="C305" s="1" t="s">
        <v>72</v>
      </c>
      <c r="D305" s="1" t="s">
        <v>73</v>
      </c>
      <c r="E305" s="1" t="s">
        <v>74</v>
      </c>
      <c r="F305" s="1" t="s">
        <v>74</v>
      </c>
      <c r="G305" s="1" t="s">
        <v>151</v>
      </c>
      <c r="H305" s="1" t="s">
        <v>76</v>
      </c>
      <c r="I305" s="31">
        <v>1</v>
      </c>
      <c r="J305" s="32">
        <v>17.09</v>
      </c>
      <c r="K305" s="32">
        <v>17.09</v>
      </c>
      <c r="L305" s="32">
        <v>9.11</v>
      </c>
      <c r="M305" s="32">
        <v>7.98</v>
      </c>
      <c r="N305" s="1" t="s">
        <v>117</v>
      </c>
      <c r="O305" s="1" t="s">
        <v>78</v>
      </c>
    </row>
    <row r="306" spans="1:15" ht="18.95" customHeight="1" x14ac:dyDescent="0.25">
      <c r="A306" s="1" t="s">
        <v>582</v>
      </c>
      <c r="B306" s="30">
        <v>45549.5</v>
      </c>
      <c r="C306" s="1" t="s">
        <v>353</v>
      </c>
      <c r="D306" s="1" t="s">
        <v>354</v>
      </c>
      <c r="E306" s="1" t="s">
        <v>136</v>
      </c>
      <c r="F306" s="1" t="s">
        <v>137</v>
      </c>
      <c r="G306" s="1" t="s">
        <v>226</v>
      </c>
      <c r="H306" s="1" t="s">
        <v>85</v>
      </c>
      <c r="I306" s="31">
        <v>1</v>
      </c>
      <c r="J306" s="32">
        <v>67.489999999999995</v>
      </c>
      <c r="K306" s="32">
        <v>67.489999999999995</v>
      </c>
      <c r="L306" s="32">
        <v>50.21</v>
      </c>
      <c r="M306" s="32">
        <v>17.28</v>
      </c>
      <c r="N306" s="1" t="s">
        <v>77</v>
      </c>
      <c r="O306" s="1" t="s">
        <v>78</v>
      </c>
    </row>
    <row r="307" spans="1:15" ht="18.95" customHeight="1" x14ac:dyDescent="0.25">
      <c r="A307" s="1" t="s">
        <v>582</v>
      </c>
      <c r="B307" s="30">
        <v>45549.5</v>
      </c>
      <c r="C307" s="1" t="s">
        <v>353</v>
      </c>
      <c r="D307" s="1" t="s">
        <v>354</v>
      </c>
      <c r="E307" s="1" t="s">
        <v>136</v>
      </c>
      <c r="F307" s="1" t="s">
        <v>137</v>
      </c>
      <c r="G307" s="1" t="s">
        <v>319</v>
      </c>
      <c r="H307" s="1" t="s">
        <v>128</v>
      </c>
      <c r="I307" s="31">
        <v>2</v>
      </c>
      <c r="J307" s="32">
        <v>52.24</v>
      </c>
      <c r="K307" s="32">
        <v>104.48</v>
      </c>
      <c r="L307" s="32">
        <v>71.73</v>
      </c>
      <c r="M307" s="32">
        <v>32.75</v>
      </c>
      <c r="N307" s="1" t="s">
        <v>77</v>
      </c>
      <c r="O307" s="1" t="s">
        <v>78</v>
      </c>
    </row>
    <row r="308" spans="1:15" ht="18.95" customHeight="1" x14ac:dyDescent="0.25">
      <c r="A308" s="1" t="s">
        <v>583</v>
      </c>
      <c r="B308" s="30">
        <v>45549.5</v>
      </c>
      <c r="C308" s="1" t="s">
        <v>353</v>
      </c>
      <c r="D308" s="1" t="s">
        <v>354</v>
      </c>
      <c r="E308" s="1" t="s">
        <v>136</v>
      </c>
      <c r="F308" s="1" t="s">
        <v>137</v>
      </c>
      <c r="G308" s="1" t="s">
        <v>230</v>
      </c>
      <c r="H308" s="1" t="s">
        <v>128</v>
      </c>
      <c r="I308" s="31">
        <v>1</v>
      </c>
      <c r="J308" s="32">
        <v>44.99</v>
      </c>
      <c r="K308" s="32">
        <v>44.99</v>
      </c>
      <c r="L308" s="32">
        <v>31.49</v>
      </c>
      <c r="M308" s="32">
        <v>13.5</v>
      </c>
      <c r="N308" s="1" t="s">
        <v>111</v>
      </c>
      <c r="O308" s="1" t="s">
        <v>118</v>
      </c>
    </row>
    <row r="309" spans="1:15" ht="18.95" customHeight="1" x14ac:dyDescent="0.25">
      <c r="A309" s="1" t="s">
        <v>583</v>
      </c>
      <c r="B309" s="30">
        <v>45549.5</v>
      </c>
      <c r="C309" s="1" t="s">
        <v>353</v>
      </c>
      <c r="D309" s="1" t="s">
        <v>354</v>
      </c>
      <c r="E309" s="1" t="s">
        <v>136</v>
      </c>
      <c r="F309" s="1" t="s">
        <v>137</v>
      </c>
      <c r="G309" s="1" t="s">
        <v>179</v>
      </c>
      <c r="H309" s="1" t="s">
        <v>128</v>
      </c>
      <c r="I309" s="31">
        <v>2</v>
      </c>
      <c r="J309" s="32">
        <v>39.99</v>
      </c>
      <c r="K309" s="32">
        <v>79.98</v>
      </c>
      <c r="L309" s="32">
        <v>51.19</v>
      </c>
      <c r="M309" s="32">
        <v>28.79</v>
      </c>
      <c r="N309" s="1" t="s">
        <v>111</v>
      </c>
      <c r="O309" s="1" t="s">
        <v>118</v>
      </c>
    </row>
    <row r="310" spans="1:15" ht="18.95" customHeight="1" x14ac:dyDescent="0.25">
      <c r="A310" s="1" t="s">
        <v>584</v>
      </c>
      <c r="B310" s="30">
        <v>45550.5</v>
      </c>
      <c r="C310" s="1" t="s">
        <v>397</v>
      </c>
      <c r="D310" s="1" t="s">
        <v>398</v>
      </c>
      <c r="E310" s="1" t="s">
        <v>169</v>
      </c>
      <c r="F310" s="1" t="s">
        <v>170</v>
      </c>
      <c r="G310" s="1" t="s">
        <v>179</v>
      </c>
      <c r="H310" s="1" t="s">
        <v>128</v>
      </c>
      <c r="I310" s="31">
        <v>2</v>
      </c>
      <c r="J310" s="32">
        <v>39.99</v>
      </c>
      <c r="K310" s="32">
        <v>79.98</v>
      </c>
      <c r="L310" s="32">
        <v>47.99</v>
      </c>
      <c r="M310" s="32">
        <v>31.99</v>
      </c>
      <c r="N310" s="1" t="s">
        <v>86</v>
      </c>
      <c r="O310" s="1" t="s">
        <v>112</v>
      </c>
    </row>
    <row r="311" spans="1:15" ht="18.95" customHeight="1" x14ac:dyDescent="0.25">
      <c r="A311" s="1" t="s">
        <v>585</v>
      </c>
      <c r="B311" s="30">
        <v>45551.5</v>
      </c>
      <c r="C311" s="1" t="s">
        <v>95</v>
      </c>
      <c r="D311" s="1" t="s">
        <v>96</v>
      </c>
      <c r="E311" s="1" t="s">
        <v>97</v>
      </c>
      <c r="F311" s="1" t="s">
        <v>91</v>
      </c>
      <c r="G311" s="1" t="s">
        <v>132</v>
      </c>
      <c r="H311" s="1" t="s">
        <v>99</v>
      </c>
      <c r="I311" s="31">
        <v>1</v>
      </c>
      <c r="J311" s="32">
        <v>89.99</v>
      </c>
      <c r="K311" s="32">
        <v>89.99</v>
      </c>
      <c r="L311" s="32">
        <v>64.34</v>
      </c>
      <c r="M311" s="32">
        <v>25.65</v>
      </c>
      <c r="N311" s="1" t="s">
        <v>77</v>
      </c>
      <c r="O311" s="1" t="s">
        <v>78</v>
      </c>
    </row>
    <row r="312" spans="1:15" ht="18.95" customHeight="1" x14ac:dyDescent="0.25">
      <c r="A312" s="1" t="s">
        <v>585</v>
      </c>
      <c r="B312" s="30">
        <v>45551.5</v>
      </c>
      <c r="C312" s="1" t="s">
        <v>95</v>
      </c>
      <c r="D312" s="1" t="s">
        <v>96</v>
      </c>
      <c r="E312" s="1" t="s">
        <v>97</v>
      </c>
      <c r="F312" s="1" t="s">
        <v>91</v>
      </c>
      <c r="G312" s="1" t="s">
        <v>98</v>
      </c>
      <c r="H312" s="1" t="s">
        <v>99</v>
      </c>
      <c r="I312" s="31">
        <v>1</v>
      </c>
      <c r="J312" s="32">
        <v>29.99</v>
      </c>
      <c r="K312" s="32">
        <v>29.99</v>
      </c>
      <c r="L312" s="32">
        <v>16.34</v>
      </c>
      <c r="M312" s="32">
        <v>13.65</v>
      </c>
      <c r="N312" s="1" t="s">
        <v>77</v>
      </c>
      <c r="O312" s="1" t="s">
        <v>78</v>
      </c>
    </row>
    <row r="313" spans="1:15" ht="18.95" customHeight="1" x14ac:dyDescent="0.25">
      <c r="A313" s="1" t="s">
        <v>585</v>
      </c>
      <c r="B313" s="30">
        <v>45551.5</v>
      </c>
      <c r="C313" s="1" t="s">
        <v>95</v>
      </c>
      <c r="D313" s="1" t="s">
        <v>96</v>
      </c>
      <c r="E313" s="1" t="s">
        <v>97</v>
      </c>
      <c r="F313" s="1" t="s">
        <v>91</v>
      </c>
      <c r="G313" s="1" t="s">
        <v>319</v>
      </c>
      <c r="H313" s="1" t="s">
        <v>128</v>
      </c>
      <c r="I313" s="31">
        <v>1</v>
      </c>
      <c r="J313" s="32">
        <v>46.74</v>
      </c>
      <c r="K313" s="32">
        <v>46.74</v>
      </c>
      <c r="L313" s="32">
        <v>35.56</v>
      </c>
      <c r="M313" s="32">
        <v>11.18</v>
      </c>
      <c r="N313" s="1" t="s">
        <v>77</v>
      </c>
      <c r="O313" s="1" t="s">
        <v>78</v>
      </c>
    </row>
    <row r="314" spans="1:15" ht="18.95" customHeight="1" x14ac:dyDescent="0.25">
      <c r="A314" s="1" t="s">
        <v>586</v>
      </c>
      <c r="B314" s="30">
        <v>45552.5</v>
      </c>
      <c r="C314" s="1" t="s">
        <v>505</v>
      </c>
      <c r="D314" s="1" t="s">
        <v>506</v>
      </c>
      <c r="E314" s="1" t="s">
        <v>74</v>
      </c>
      <c r="F314" s="1" t="s">
        <v>74</v>
      </c>
      <c r="G314" s="1" t="s">
        <v>202</v>
      </c>
      <c r="H314" s="1" t="s">
        <v>85</v>
      </c>
      <c r="I314" s="31">
        <v>2</v>
      </c>
      <c r="J314" s="32">
        <v>7.59</v>
      </c>
      <c r="K314" s="32">
        <v>15.18</v>
      </c>
      <c r="L314" s="32">
        <v>8.51</v>
      </c>
      <c r="M314" s="32">
        <v>6.67</v>
      </c>
      <c r="N314" s="1" t="s">
        <v>86</v>
      </c>
      <c r="O314" s="1" t="s">
        <v>78</v>
      </c>
    </row>
    <row r="315" spans="1:15" ht="18.95" customHeight="1" x14ac:dyDescent="0.25">
      <c r="A315" s="1" t="s">
        <v>586</v>
      </c>
      <c r="B315" s="30">
        <v>45552.5</v>
      </c>
      <c r="C315" s="1" t="s">
        <v>505</v>
      </c>
      <c r="D315" s="1" t="s">
        <v>506</v>
      </c>
      <c r="E315" s="1" t="s">
        <v>74</v>
      </c>
      <c r="F315" s="1" t="s">
        <v>74</v>
      </c>
      <c r="G315" s="1" t="s">
        <v>226</v>
      </c>
      <c r="H315" s="1" t="s">
        <v>85</v>
      </c>
      <c r="I315" s="31">
        <v>1</v>
      </c>
      <c r="J315" s="32">
        <v>74.989999999999995</v>
      </c>
      <c r="K315" s="32">
        <v>74.989999999999995</v>
      </c>
      <c r="L315" s="32">
        <v>50.62</v>
      </c>
      <c r="M315" s="32">
        <v>24.37</v>
      </c>
      <c r="N315" s="1" t="s">
        <v>86</v>
      </c>
      <c r="O315" s="1" t="s">
        <v>78</v>
      </c>
    </row>
    <row r="316" spans="1:15" ht="18.95" customHeight="1" x14ac:dyDescent="0.25">
      <c r="A316" s="1" t="s">
        <v>587</v>
      </c>
      <c r="B316" s="30">
        <v>45553.5</v>
      </c>
      <c r="C316" s="1" t="s">
        <v>141</v>
      </c>
      <c r="D316" s="1" t="s">
        <v>142</v>
      </c>
      <c r="E316" s="1" t="s">
        <v>82</v>
      </c>
      <c r="F316" s="1" t="s">
        <v>83</v>
      </c>
      <c r="G316" s="1" t="s">
        <v>230</v>
      </c>
      <c r="H316" s="1" t="s">
        <v>128</v>
      </c>
      <c r="I316" s="31">
        <v>2</v>
      </c>
      <c r="J316" s="32">
        <v>44.99</v>
      </c>
      <c r="K316" s="32">
        <v>89.98</v>
      </c>
      <c r="L316" s="32">
        <v>57.14</v>
      </c>
      <c r="M316" s="32">
        <v>32.840000000000003</v>
      </c>
      <c r="N316" s="1" t="s">
        <v>77</v>
      </c>
      <c r="O316" s="1" t="s">
        <v>78</v>
      </c>
    </row>
    <row r="317" spans="1:15" ht="18.95" customHeight="1" x14ac:dyDescent="0.25">
      <c r="A317" s="1" t="s">
        <v>588</v>
      </c>
      <c r="B317" s="30">
        <v>45553.5</v>
      </c>
      <c r="C317" s="1" t="s">
        <v>423</v>
      </c>
      <c r="D317" s="1" t="s">
        <v>424</v>
      </c>
      <c r="E317" s="1" t="s">
        <v>104</v>
      </c>
      <c r="F317" s="1" t="s">
        <v>105</v>
      </c>
      <c r="G317" s="1" t="s">
        <v>319</v>
      </c>
      <c r="H317" s="1" t="s">
        <v>128</v>
      </c>
      <c r="I317" s="31">
        <v>1</v>
      </c>
      <c r="J317" s="32">
        <v>54.99</v>
      </c>
      <c r="K317" s="32">
        <v>54.99</v>
      </c>
      <c r="L317" s="32">
        <v>36.020000000000003</v>
      </c>
      <c r="M317" s="32">
        <v>18.97</v>
      </c>
      <c r="N317" s="1" t="s">
        <v>117</v>
      </c>
      <c r="O317" s="1" t="s">
        <v>78</v>
      </c>
    </row>
    <row r="318" spans="1:15" ht="18.95" customHeight="1" x14ac:dyDescent="0.25">
      <c r="A318" s="1" t="s">
        <v>589</v>
      </c>
      <c r="B318" s="30">
        <v>45555.5</v>
      </c>
      <c r="C318" s="1" t="s">
        <v>373</v>
      </c>
      <c r="D318" s="1" t="s">
        <v>374</v>
      </c>
      <c r="E318" s="1" t="s">
        <v>90</v>
      </c>
      <c r="F318" s="1" t="s">
        <v>91</v>
      </c>
      <c r="G318" s="1" t="s">
        <v>157</v>
      </c>
      <c r="H318" s="1" t="s">
        <v>93</v>
      </c>
      <c r="I318" s="31">
        <v>1</v>
      </c>
      <c r="J318" s="32">
        <v>19.989999999999998</v>
      </c>
      <c r="K318" s="32">
        <v>19.989999999999998</v>
      </c>
      <c r="L318" s="32">
        <v>9.9</v>
      </c>
      <c r="M318" s="32">
        <v>10.09</v>
      </c>
      <c r="N318" s="1" t="s">
        <v>86</v>
      </c>
      <c r="O318" s="1" t="s">
        <v>78</v>
      </c>
    </row>
    <row r="319" spans="1:15" ht="18.95" customHeight="1" x14ac:dyDescent="0.25">
      <c r="A319" s="1" t="s">
        <v>590</v>
      </c>
      <c r="B319" s="30">
        <v>45555.5</v>
      </c>
      <c r="C319" s="1" t="s">
        <v>228</v>
      </c>
      <c r="D319" s="1" t="s">
        <v>229</v>
      </c>
      <c r="E319" s="1" t="s">
        <v>212</v>
      </c>
      <c r="F319" s="1" t="s">
        <v>83</v>
      </c>
      <c r="G319" s="1" t="s">
        <v>151</v>
      </c>
      <c r="H319" s="1" t="s">
        <v>76</v>
      </c>
      <c r="I319" s="31">
        <v>2</v>
      </c>
      <c r="J319" s="32">
        <v>18.989999999999998</v>
      </c>
      <c r="K319" s="32">
        <v>37.979999999999997</v>
      </c>
      <c r="L319" s="32">
        <v>19.37</v>
      </c>
      <c r="M319" s="32">
        <v>18.61</v>
      </c>
      <c r="N319" s="1" t="s">
        <v>315</v>
      </c>
      <c r="O319" s="1" t="s">
        <v>112</v>
      </c>
    </row>
    <row r="320" spans="1:15" ht="18.95" customHeight="1" x14ac:dyDescent="0.25">
      <c r="A320" s="1" t="s">
        <v>590</v>
      </c>
      <c r="B320" s="30">
        <v>45555.5</v>
      </c>
      <c r="C320" s="1" t="s">
        <v>228</v>
      </c>
      <c r="D320" s="1" t="s">
        <v>229</v>
      </c>
      <c r="E320" s="1" t="s">
        <v>212</v>
      </c>
      <c r="F320" s="1" t="s">
        <v>83</v>
      </c>
      <c r="G320" s="1" t="s">
        <v>322</v>
      </c>
      <c r="H320" s="1" t="s">
        <v>128</v>
      </c>
      <c r="I320" s="31">
        <v>1</v>
      </c>
      <c r="J320" s="32">
        <v>56.99</v>
      </c>
      <c r="K320" s="32">
        <v>56.99</v>
      </c>
      <c r="L320" s="32">
        <v>42.35</v>
      </c>
      <c r="M320" s="32">
        <v>14.64</v>
      </c>
      <c r="N320" s="1" t="s">
        <v>315</v>
      </c>
      <c r="O320" s="1" t="s">
        <v>112</v>
      </c>
    </row>
    <row r="321" spans="1:15" ht="18.95" customHeight="1" x14ac:dyDescent="0.25">
      <c r="A321" s="1" t="s">
        <v>591</v>
      </c>
      <c r="B321" s="30">
        <v>45555.5</v>
      </c>
      <c r="C321" s="1" t="s">
        <v>359</v>
      </c>
      <c r="D321" s="1" t="s">
        <v>360</v>
      </c>
      <c r="E321" s="1" t="s">
        <v>212</v>
      </c>
      <c r="F321" s="1" t="s">
        <v>83</v>
      </c>
      <c r="G321" s="1" t="s">
        <v>151</v>
      </c>
      <c r="H321" s="1" t="s">
        <v>76</v>
      </c>
      <c r="I321" s="31">
        <v>3</v>
      </c>
      <c r="J321" s="32">
        <v>18.989999999999998</v>
      </c>
      <c r="K321" s="32">
        <v>56.97</v>
      </c>
      <c r="L321" s="32">
        <v>29.05</v>
      </c>
      <c r="M321" s="32">
        <v>27.92</v>
      </c>
      <c r="N321" s="1" t="s">
        <v>86</v>
      </c>
      <c r="O321" s="1" t="s">
        <v>112</v>
      </c>
    </row>
    <row r="322" spans="1:15" ht="18.95" customHeight="1" x14ac:dyDescent="0.25">
      <c r="A322" s="1" t="s">
        <v>592</v>
      </c>
      <c r="B322" s="30">
        <v>45556.5</v>
      </c>
      <c r="C322" s="1" t="s">
        <v>593</v>
      </c>
      <c r="D322" s="1" t="s">
        <v>594</v>
      </c>
      <c r="E322" s="1" t="s">
        <v>169</v>
      </c>
      <c r="F322" s="1" t="s">
        <v>170</v>
      </c>
      <c r="G322" s="1" t="s">
        <v>139</v>
      </c>
      <c r="H322" s="1" t="s">
        <v>128</v>
      </c>
      <c r="I322" s="31">
        <v>3</v>
      </c>
      <c r="J322" s="32">
        <v>69.989999999999995</v>
      </c>
      <c r="K322" s="32">
        <v>209.97</v>
      </c>
      <c r="L322" s="32">
        <v>144.88</v>
      </c>
      <c r="M322" s="32">
        <v>65.09</v>
      </c>
      <c r="N322" s="1" t="s">
        <v>100</v>
      </c>
      <c r="O322" s="1" t="s">
        <v>112</v>
      </c>
    </row>
    <row r="323" spans="1:15" ht="18.95" customHeight="1" x14ac:dyDescent="0.25">
      <c r="A323" s="1" t="s">
        <v>595</v>
      </c>
      <c r="B323" s="30">
        <v>45558.5</v>
      </c>
      <c r="C323" s="1" t="s">
        <v>596</v>
      </c>
      <c r="D323" s="1" t="s">
        <v>597</v>
      </c>
      <c r="E323" s="1" t="s">
        <v>104</v>
      </c>
      <c r="F323" s="1" t="s">
        <v>105</v>
      </c>
      <c r="G323" s="1" t="s">
        <v>226</v>
      </c>
      <c r="H323" s="1" t="s">
        <v>85</v>
      </c>
      <c r="I323" s="31">
        <v>1</v>
      </c>
      <c r="J323" s="32">
        <v>74.989999999999995</v>
      </c>
      <c r="K323" s="32">
        <v>74.989999999999995</v>
      </c>
      <c r="L323" s="32">
        <v>50.62</v>
      </c>
      <c r="M323" s="32">
        <v>24.37</v>
      </c>
      <c r="N323" s="1" t="s">
        <v>77</v>
      </c>
      <c r="O323" s="1" t="s">
        <v>78</v>
      </c>
    </row>
    <row r="324" spans="1:15" ht="18.95" customHeight="1" x14ac:dyDescent="0.25">
      <c r="A324" s="1" t="s">
        <v>598</v>
      </c>
      <c r="B324" s="30">
        <v>45560.5</v>
      </c>
      <c r="C324" s="1" t="s">
        <v>599</v>
      </c>
      <c r="D324" s="1" t="s">
        <v>600</v>
      </c>
      <c r="E324" s="1" t="s">
        <v>74</v>
      </c>
      <c r="F324" s="1" t="s">
        <v>74</v>
      </c>
      <c r="G324" s="1" t="s">
        <v>213</v>
      </c>
      <c r="H324" s="1" t="s">
        <v>93</v>
      </c>
      <c r="I324" s="31">
        <v>1</v>
      </c>
      <c r="J324" s="32">
        <v>32.99</v>
      </c>
      <c r="K324" s="32">
        <v>32.99</v>
      </c>
      <c r="L324" s="32">
        <v>18.64</v>
      </c>
      <c r="M324" s="32">
        <v>14.35</v>
      </c>
      <c r="N324" s="1" t="s">
        <v>117</v>
      </c>
      <c r="O324" s="1" t="s">
        <v>78</v>
      </c>
    </row>
    <row r="325" spans="1:15" ht="18.95" customHeight="1" x14ac:dyDescent="0.25">
      <c r="A325" s="1" t="s">
        <v>598</v>
      </c>
      <c r="B325" s="30">
        <v>45560.5</v>
      </c>
      <c r="C325" s="1" t="s">
        <v>599</v>
      </c>
      <c r="D325" s="1" t="s">
        <v>600</v>
      </c>
      <c r="E325" s="1" t="s">
        <v>74</v>
      </c>
      <c r="F325" s="1" t="s">
        <v>74</v>
      </c>
      <c r="G325" s="1" t="s">
        <v>157</v>
      </c>
      <c r="H325" s="1" t="s">
        <v>93</v>
      </c>
      <c r="I325" s="31">
        <v>1</v>
      </c>
      <c r="J325" s="32">
        <v>17.989999999999998</v>
      </c>
      <c r="K325" s="32">
        <v>17.989999999999998</v>
      </c>
      <c r="L325" s="32">
        <v>9.7899999999999991</v>
      </c>
      <c r="M325" s="32">
        <v>8.1999999999999993</v>
      </c>
      <c r="N325" s="1" t="s">
        <v>117</v>
      </c>
      <c r="O325" s="1" t="s">
        <v>78</v>
      </c>
    </row>
    <row r="326" spans="1:15" ht="18.95" customHeight="1" x14ac:dyDescent="0.25">
      <c r="A326" s="1" t="s">
        <v>601</v>
      </c>
      <c r="B326" s="30">
        <v>45560.5</v>
      </c>
      <c r="C326" s="1" t="s">
        <v>288</v>
      </c>
      <c r="D326" s="1" t="s">
        <v>289</v>
      </c>
      <c r="E326" s="1" t="s">
        <v>104</v>
      </c>
      <c r="F326" s="1" t="s">
        <v>105</v>
      </c>
      <c r="G326" s="1" t="s">
        <v>213</v>
      </c>
      <c r="H326" s="1" t="s">
        <v>93</v>
      </c>
      <c r="I326" s="31">
        <v>1</v>
      </c>
      <c r="J326" s="32">
        <v>31.34</v>
      </c>
      <c r="K326" s="32">
        <v>31.34</v>
      </c>
      <c r="L326" s="32">
        <v>19.329999999999998</v>
      </c>
      <c r="M326" s="32">
        <v>12.01</v>
      </c>
      <c r="N326" s="1" t="s">
        <v>86</v>
      </c>
      <c r="O326" s="1" t="s">
        <v>112</v>
      </c>
    </row>
    <row r="327" spans="1:15" ht="18.95" customHeight="1" x14ac:dyDescent="0.25">
      <c r="A327" s="1" t="s">
        <v>602</v>
      </c>
      <c r="B327" s="30">
        <v>45562.5</v>
      </c>
      <c r="C327" s="1" t="s">
        <v>304</v>
      </c>
      <c r="D327" s="1" t="s">
        <v>305</v>
      </c>
      <c r="E327" s="1" t="s">
        <v>74</v>
      </c>
      <c r="F327" s="1" t="s">
        <v>74</v>
      </c>
      <c r="G327" s="1" t="s">
        <v>230</v>
      </c>
      <c r="H327" s="1" t="s">
        <v>128</v>
      </c>
      <c r="I327" s="31">
        <v>3</v>
      </c>
      <c r="J327" s="32">
        <v>38.24</v>
      </c>
      <c r="K327" s="32">
        <v>114.72</v>
      </c>
      <c r="L327" s="32">
        <v>92.05</v>
      </c>
      <c r="M327" s="32">
        <v>22.67</v>
      </c>
      <c r="N327" s="1" t="s">
        <v>117</v>
      </c>
      <c r="O327" s="1" t="s">
        <v>118</v>
      </c>
    </row>
    <row r="328" spans="1:15" ht="18.95" customHeight="1" x14ac:dyDescent="0.25">
      <c r="A328" s="1" t="s">
        <v>602</v>
      </c>
      <c r="B328" s="30">
        <v>45562.5</v>
      </c>
      <c r="C328" s="1" t="s">
        <v>304</v>
      </c>
      <c r="D328" s="1" t="s">
        <v>305</v>
      </c>
      <c r="E328" s="1" t="s">
        <v>74</v>
      </c>
      <c r="F328" s="1" t="s">
        <v>74</v>
      </c>
      <c r="G328" s="1" t="s">
        <v>293</v>
      </c>
      <c r="H328" s="1" t="s">
        <v>99</v>
      </c>
      <c r="I328" s="31">
        <v>3</v>
      </c>
      <c r="J328" s="32">
        <v>109.99</v>
      </c>
      <c r="K328" s="32">
        <v>329.97</v>
      </c>
      <c r="L328" s="32">
        <v>263.98</v>
      </c>
      <c r="M328" s="32">
        <v>65.989999999999995</v>
      </c>
      <c r="N328" s="1" t="s">
        <v>117</v>
      </c>
      <c r="O328" s="1" t="s">
        <v>118</v>
      </c>
    </row>
    <row r="329" spans="1:15" ht="18.95" customHeight="1" x14ac:dyDescent="0.25">
      <c r="A329" s="1" t="s">
        <v>603</v>
      </c>
      <c r="B329" s="30">
        <v>45563.5</v>
      </c>
      <c r="C329" s="1" t="s">
        <v>224</v>
      </c>
      <c r="D329" s="1" t="s">
        <v>225</v>
      </c>
      <c r="E329" s="1" t="s">
        <v>74</v>
      </c>
      <c r="F329" s="1" t="s">
        <v>74</v>
      </c>
      <c r="G329" s="1" t="s">
        <v>127</v>
      </c>
      <c r="H329" s="1" t="s">
        <v>128</v>
      </c>
      <c r="I329" s="31">
        <v>2</v>
      </c>
      <c r="J329" s="32">
        <v>24.99</v>
      </c>
      <c r="K329" s="32">
        <v>49.98</v>
      </c>
      <c r="L329" s="32">
        <v>30.24</v>
      </c>
      <c r="M329" s="32">
        <v>19.739999999999998</v>
      </c>
      <c r="N329" s="1" t="s">
        <v>100</v>
      </c>
      <c r="O329" s="1" t="s">
        <v>78</v>
      </c>
    </row>
    <row r="330" spans="1:15" ht="18.95" customHeight="1" x14ac:dyDescent="0.25">
      <c r="A330" s="1" t="s">
        <v>603</v>
      </c>
      <c r="B330" s="30">
        <v>45563.5</v>
      </c>
      <c r="C330" s="1" t="s">
        <v>224</v>
      </c>
      <c r="D330" s="1" t="s">
        <v>225</v>
      </c>
      <c r="E330" s="1" t="s">
        <v>74</v>
      </c>
      <c r="F330" s="1" t="s">
        <v>74</v>
      </c>
      <c r="G330" s="1" t="s">
        <v>189</v>
      </c>
      <c r="H330" s="1" t="s">
        <v>93</v>
      </c>
      <c r="I330" s="31">
        <v>2</v>
      </c>
      <c r="J330" s="32">
        <v>42.74</v>
      </c>
      <c r="K330" s="32">
        <v>85.48</v>
      </c>
      <c r="L330" s="32">
        <v>53.29</v>
      </c>
      <c r="M330" s="32">
        <v>32.19</v>
      </c>
      <c r="N330" s="1" t="s">
        <v>100</v>
      </c>
      <c r="O330" s="1" t="s">
        <v>78</v>
      </c>
    </row>
    <row r="331" spans="1:15" ht="18.95" customHeight="1" x14ac:dyDescent="0.25">
      <c r="A331" s="1" t="s">
        <v>604</v>
      </c>
      <c r="B331" s="30">
        <v>45563.5</v>
      </c>
      <c r="C331" s="1" t="s">
        <v>72</v>
      </c>
      <c r="D331" s="1" t="s">
        <v>73</v>
      </c>
      <c r="E331" s="1" t="s">
        <v>74</v>
      </c>
      <c r="F331" s="1" t="s">
        <v>74</v>
      </c>
      <c r="G331" s="1" t="s">
        <v>132</v>
      </c>
      <c r="H331" s="1" t="s">
        <v>99</v>
      </c>
      <c r="I331" s="31">
        <v>1</v>
      </c>
      <c r="J331" s="32">
        <v>89.99</v>
      </c>
      <c r="K331" s="32">
        <v>89.99</v>
      </c>
      <c r="L331" s="32">
        <v>64.34</v>
      </c>
      <c r="M331" s="32">
        <v>25.65</v>
      </c>
      <c r="N331" s="1" t="s">
        <v>117</v>
      </c>
      <c r="O331" s="1" t="s">
        <v>78</v>
      </c>
    </row>
    <row r="332" spans="1:15" ht="18.95" customHeight="1" x14ac:dyDescent="0.25">
      <c r="A332" s="1" t="s">
        <v>605</v>
      </c>
      <c r="B332" s="30">
        <v>45563.5</v>
      </c>
      <c r="C332" s="1" t="s">
        <v>347</v>
      </c>
      <c r="D332" s="1" t="s">
        <v>348</v>
      </c>
      <c r="E332" s="1" t="s">
        <v>330</v>
      </c>
      <c r="F332" s="1" t="s">
        <v>238</v>
      </c>
      <c r="G332" s="1" t="s">
        <v>195</v>
      </c>
      <c r="H332" s="1" t="s">
        <v>128</v>
      </c>
      <c r="I332" s="31">
        <v>1</v>
      </c>
      <c r="J332" s="32">
        <v>132.99</v>
      </c>
      <c r="K332" s="32">
        <v>132.99</v>
      </c>
      <c r="L332" s="32">
        <v>106.71</v>
      </c>
      <c r="M332" s="32">
        <v>26.28</v>
      </c>
      <c r="N332" s="1" t="s">
        <v>117</v>
      </c>
      <c r="O332" s="1" t="s">
        <v>78</v>
      </c>
    </row>
    <row r="333" spans="1:15" ht="18.95" customHeight="1" x14ac:dyDescent="0.25">
      <c r="A333" s="1" t="s">
        <v>606</v>
      </c>
      <c r="B333" s="30">
        <v>45563.5</v>
      </c>
      <c r="C333" s="1" t="s">
        <v>313</v>
      </c>
      <c r="D333" s="1" t="s">
        <v>314</v>
      </c>
      <c r="E333" s="1" t="s">
        <v>97</v>
      </c>
      <c r="F333" s="1" t="s">
        <v>91</v>
      </c>
      <c r="G333" s="1" t="s">
        <v>110</v>
      </c>
      <c r="H333" s="1" t="s">
        <v>85</v>
      </c>
      <c r="I333" s="31">
        <v>2</v>
      </c>
      <c r="J333" s="32">
        <v>12.34</v>
      </c>
      <c r="K333" s="32">
        <v>24.68</v>
      </c>
      <c r="L333" s="32">
        <v>12.27</v>
      </c>
      <c r="M333" s="32">
        <v>12.41</v>
      </c>
      <c r="N333" s="1" t="s">
        <v>117</v>
      </c>
      <c r="O333" s="1" t="s">
        <v>78</v>
      </c>
    </row>
    <row r="334" spans="1:15" ht="18.95" customHeight="1" x14ac:dyDescent="0.25">
      <c r="A334" s="1" t="s">
        <v>607</v>
      </c>
      <c r="B334" s="30">
        <v>45563.5</v>
      </c>
      <c r="C334" s="1" t="s">
        <v>423</v>
      </c>
      <c r="D334" s="1" t="s">
        <v>424</v>
      </c>
      <c r="E334" s="1" t="s">
        <v>104</v>
      </c>
      <c r="F334" s="1" t="s">
        <v>105</v>
      </c>
      <c r="G334" s="1" t="s">
        <v>230</v>
      </c>
      <c r="H334" s="1" t="s">
        <v>128</v>
      </c>
      <c r="I334" s="31">
        <v>3</v>
      </c>
      <c r="J334" s="32">
        <v>38.24</v>
      </c>
      <c r="K334" s="32">
        <v>114.72</v>
      </c>
      <c r="L334" s="32">
        <v>87.46</v>
      </c>
      <c r="M334" s="32">
        <v>27.26</v>
      </c>
      <c r="N334" s="1" t="s">
        <v>315</v>
      </c>
      <c r="O334" s="1" t="s">
        <v>112</v>
      </c>
    </row>
    <row r="335" spans="1:15" ht="18.95" customHeight="1" x14ac:dyDescent="0.25">
      <c r="A335" s="1" t="s">
        <v>608</v>
      </c>
      <c r="B335" s="30">
        <v>45564.5</v>
      </c>
      <c r="C335" s="1" t="s">
        <v>267</v>
      </c>
      <c r="D335" s="1" t="s">
        <v>268</v>
      </c>
      <c r="E335" s="1" t="s">
        <v>212</v>
      </c>
      <c r="F335" s="1" t="s">
        <v>83</v>
      </c>
      <c r="G335" s="1" t="s">
        <v>230</v>
      </c>
      <c r="H335" s="1" t="s">
        <v>128</v>
      </c>
      <c r="I335" s="31">
        <v>2</v>
      </c>
      <c r="J335" s="32">
        <v>44.99</v>
      </c>
      <c r="K335" s="32">
        <v>89.98</v>
      </c>
      <c r="L335" s="32">
        <v>57.14</v>
      </c>
      <c r="M335" s="32">
        <v>32.840000000000003</v>
      </c>
      <c r="N335" s="1" t="s">
        <v>77</v>
      </c>
      <c r="O335" s="1" t="s">
        <v>78</v>
      </c>
    </row>
    <row r="336" spans="1:15" ht="18.95" customHeight="1" x14ac:dyDescent="0.25">
      <c r="A336" s="1" t="s">
        <v>609</v>
      </c>
      <c r="B336" s="30">
        <v>45564.5</v>
      </c>
      <c r="C336" s="1" t="s">
        <v>467</v>
      </c>
      <c r="D336" s="1" t="s">
        <v>468</v>
      </c>
      <c r="E336" s="1" t="s">
        <v>90</v>
      </c>
      <c r="F336" s="1" t="s">
        <v>91</v>
      </c>
      <c r="G336" s="1" t="s">
        <v>84</v>
      </c>
      <c r="H336" s="1" t="s">
        <v>85</v>
      </c>
      <c r="I336" s="31">
        <v>1</v>
      </c>
      <c r="J336" s="32">
        <v>8.99</v>
      </c>
      <c r="K336" s="32">
        <v>8.99</v>
      </c>
      <c r="L336" s="32">
        <v>4</v>
      </c>
      <c r="M336" s="32">
        <v>4.99</v>
      </c>
      <c r="N336" s="1" t="s">
        <v>117</v>
      </c>
      <c r="O336" s="1" t="s">
        <v>78</v>
      </c>
    </row>
    <row r="337" spans="1:15" ht="18.95" customHeight="1" x14ac:dyDescent="0.25">
      <c r="A337" s="1" t="s">
        <v>610</v>
      </c>
      <c r="B337" s="30">
        <v>45565.5</v>
      </c>
      <c r="C337" s="1" t="s">
        <v>267</v>
      </c>
      <c r="D337" s="1" t="s">
        <v>268</v>
      </c>
      <c r="E337" s="1" t="s">
        <v>212</v>
      </c>
      <c r="F337" s="1" t="s">
        <v>83</v>
      </c>
      <c r="G337" s="1" t="s">
        <v>230</v>
      </c>
      <c r="H337" s="1" t="s">
        <v>128</v>
      </c>
      <c r="I337" s="31">
        <v>1</v>
      </c>
      <c r="J337" s="32">
        <v>42.74</v>
      </c>
      <c r="K337" s="32">
        <v>42.74</v>
      </c>
      <c r="L337" s="32">
        <v>29.51</v>
      </c>
      <c r="M337" s="32">
        <v>13.23</v>
      </c>
      <c r="N337" s="1" t="s">
        <v>86</v>
      </c>
      <c r="O337" s="1" t="s">
        <v>112</v>
      </c>
    </row>
    <row r="338" spans="1:15" ht="18.95" customHeight="1" x14ac:dyDescent="0.25">
      <c r="A338" s="1" t="s">
        <v>610</v>
      </c>
      <c r="B338" s="30">
        <v>45565.5</v>
      </c>
      <c r="C338" s="1" t="s">
        <v>267</v>
      </c>
      <c r="D338" s="1" t="s">
        <v>268</v>
      </c>
      <c r="E338" s="1" t="s">
        <v>212</v>
      </c>
      <c r="F338" s="1" t="s">
        <v>83</v>
      </c>
      <c r="G338" s="1" t="s">
        <v>75</v>
      </c>
      <c r="H338" s="1" t="s">
        <v>76</v>
      </c>
      <c r="I338" s="31">
        <v>3</v>
      </c>
      <c r="J338" s="32">
        <v>25.64</v>
      </c>
      <c r="K338" s="32">
        <v>76.92</v>
      </c>
      <c r="L338" s="32">
        <v>45.02</v>
      </c>
      <c r="M338" s="32">
        <v>31.9</v>
      </c>
      <c r="N338" s="1" t="s">
        <v>86</v>
      </c>
      <c r="O338" s="1" t="s">
        <v>112</v>
      </c>
    </row>
    <row r="339" spans="1:15" ht="18.95" customHeight="1" x14ac:dyDescent="0.25">
      <c r="A339" s="1" t="s">
        <v>611</v>
      </c>
      <c r="B339" s="30">
        <v>45565.5</v>
      </c>
      <c r="C339" s="1" t="s">
        <v>141</v>
      </c>
      <c r="D339" s="1" t="s">
        <v>142</v>
      </c>
      <c r="E339" s="1" t="s">
        <v>82</v>
      </c>
      <c r="F339" s="1" t="s">
        <v>83</v>
      </c>
      <c r="G339" s="1" t="s">
        <v>230</v>
      </c>
      <c r="H339" s="1" t="s">
        <v>128</v>
      </c>
      <c r="I339" s="31">
        <v>1</v>
      </c>
      <c r="J339" s="32">
        <v>40.49</v>
      </c>
      <c r="K339" s="32">
        <v>40.49</v>
      </c>
      <c r="L339" s="32">
        <v>29.33</v>
      </c>
      <c r="M339" s="32">
        <v>11.16</v>
      </c>
      <c r="N339" s="1" t="s">
        <v>86</v>
      </c>
      <c r="O339" s="1" t="s">
        <v>112</v>
      </c>
    </row>
    <row r="340" spans="1:15" ht="18.95" customHeight="1" x14ac:dyDescent="0.25">
      <c r="A340" s="1" t="s">
        <v>611</v>
      </c>
      <c r="B340" s="30">
        <v>45565.5</v>
      </c>
      <c r="C340" s="1" t="s">
        <v>141</v>
      </c>
      <c r="D340" s="1" t="s">
        <v>142</v>
      </c>
      <c r="E340" s="1" t="s">
        <v>82</v>
      </c>
      <c r="F340" s="1" t="s">
        <v>83</v>
      </c>
      <c r="G340" s="1" t="s">
        <v>75</v>
      </c>
      <c r="H340" s="1" t="s">
        <v>76</v>
      </c>
      <c r="I340" s="31">
        <v>3</v>
      </c>
      <c r="J340" s="32">
        <v>26.99</v>
      </c>
      <c r="K340" s="32">
        <v>80.97</v>
      </c>
      <c r="L340" s="32">
        <v>45.34</v>
      </c>
      <c r="M340" s="32">
        <v>35.630000000000003</v>
      </c>
      <c r="N340" s="1" t="s">
        <v>86</v>
      </c>
      <c r="O340" s="1" t="s">
        <v>112</v>
      </c>
    </row>
    <row r="341" spans="1:15" ht="18.95" customHeight="1" x14ac:dyDescent="0.25">
      <c r="A341" s="1" t="s">
        <v>612</v>
      </c>
      <c r="B341" s="30">
        <v>45565.5</v>
      </c>
      <c r="C341" s="1" t="s">
        <v>560</v>
      </c>
      <c r="D341" s="1" t="s">
        <v>561</v>
      </c>
      <c r="E341" s="1" t="s">
        <v>74</v>
      </c>
      <c r="F341" s="1" t="s">
        <v>74</v>
      </c>
      <c r="G341" s="1" t="s">
        <v>202</v>
      </c>
      <c r="H341" s="1" t="s">
        <v>85</v>
      </c>
      <c r="I341" s="31">
        <v>6</v>
      </c>
      <c r="J341" s="32">
        <v>7.99</v>
      </c>
      <c r="K341" s="32">
        <v>47.94</v>
      </c>
      <c r="L341" s="32">
        <v>25.65</v>
      </c>
      <c r="M341" s="32">
        <v>22.29</v>
      </c>
      <c r="N341" s="1" t="s">
        <v>77</v>
      </c>
      <c r="O341" s="1" t="s">
        <v>78</v>
      </c>
    </row>
    <row r="342" spans="1:15" ht="18.95" customHeight="1" x14ac:dyDescent="0.25">
      <c r="A342" s="1" t="s">
        <v>613</v>
      </c>
      <c r="B342" s="30">
        <v>45566.5</v>
      </c>
      <c r="C342" s="1" t="s">
        <v>614</v>
      </c>
      <c r="D342" s="1" t="s">
        <v>615</v>
      </c>
      <c r="E342" s="1" t="s">
        <v>90</v>
      </c>
      <c r="F342" s="1" t="s">
        <v>91</v>
      </c>
      <c r="G342" s="1" t="s">
        <v>92</v>
      </c>
      <c r="H342" s="1" t="s">
        <v>93</v>
      </c>
      <c r="I342" s="31">
        <v>1</v>
      </c>
      <c r="J342" s="32">
        <v>62.99</v>
      </c>
      <c r="K342" s="32">
        <v>62.99</v>
      </c>
      <c r="L342" s="32">
        <v>50.25</v>
      </c>
      <c r="M342" s="32">
        <v>12.74</v>
      </c>
      <c r="N342" s="1" t="s">
        <v>86</v>
      </c>
      <c r="O342" s="1" t="s">
        <v>118</v>
      </c>
    </row>
    <row r="343" spans="1:15" ht="18.95" customHeight="1" x14ac:dyDescent="0.25">
      <c r="A343" s="1" t="s">
        <v>613</v>
      </c>
      <c r="B343" s="30">
        <v>45566.5</v>
      </c>
      <c r="C343" s="1" t="s">
        <v>614</v>
      </c>
      <c r="D343" s="1" t="s">
        <v>615</v>
      </c>
      <c r="E343" s="1" t="s">
        <v>90</v>
      </c>
      <c r="F343" s="1" t="s">
        <v>91</v>
      </c>
      <c r="G343" s="1" t="s">
        <v>179</v>
      </c>
      <c r="H343" s="1" t="s">
        <v>128</v>
      </c>
      <c r="I343" s="31">
        <v>1</v>
      </c>
      <c r="J343" s="32">
        <v>39.99</v>
      </c>
      <c r="K343" s="32">
        <v>39.99</v>
      </c>
      <c r="L343" s="32">
        <v>25.59</v>
      </c>
      <c r="M343" s="32">
        <v>14.4</v>
      </c>
      <c r="N343" s="1" t="s">
        <v>86</v>
      </c>
      <c r="O343" s="1" t="s">
        <v>118</v>
      </c>
    </row>
    <row r="344" spans="1:15" ht="18.95" customHeight="1" x14ac:dyDescent="0.25">
      <c r="A344" s="1" t="s">
        <v>616</v>
      </c>
      <c r="B344" s="30">
        <v>45568.5</v>
      </c>
      <c r="C344" s="1" t="s">
        <v>80</v>
      </c>
      <c r="D344" s="1" t="s">
        <v>81</v>
      </c>
      <c r="E344" s="1" t="s">
        <v>82</v>
      </c>
      <c r="F344" s="1" t="s">
        <v>83</v>
      </c>
      <c r="G344" s="1" t="s">
        <v>151</v>
      </c>
      <c r="H344" s="1" t="s">
        <v>76</v>
      </c>
      <c r="I344" s="31">
        <v>1</v>
      </c>
      <c r="J344" s="32">
        <v>18.989999999999998</v>
      </c>
      <c r="K344" s="32">
        <v>18.989999999999998</v>
      </c>
      <c r="L344" s="32">
        <v>9.68</v>
      </c>
      <c r="M344" s="32">
        <v>9.31</v>
      </c>
      <c r="N344" s="1" t="s">
        <v>111</v>
      </c>
      <c r="O344" s="1" t="s">
        <v>112</v>
      </c>
    </row>
    <row r="345" spans="1:15" ht="18.95" customHeight="1" x14ac:dyDescent="0.25">
      <c r="A345" s="1" t="s">
        <v>617</v>
      </c>
      <c r="B345" s="30">
        <v>45569.5</v>
      </c>
      <c r="C345" s="1" t="s">
        <v>467</v>
      </c>
      <c r="D345" s="1" t="s">
        <v>468</v>
      </c>
      <c r="E345" s="1" t="s">
        <v>90</v>
      </c>
      <c r="F345" s="1" t="s">
        <v>91</v>
      </c>
      <c r="G345" s="1" t="s">
        <v>106</v>
      </c>
      <c r="H345" s="1" t="s">
        <v>99</v>
      </c>
      <c r="I345" s="31">
        <v>1</v>
      </c>
      <c r="J345" s="32">
        <v>79.989999999999995</v>
      </c>
      <c r="K345" s="32">
        <v>79.989999999999995</v>
      </c>
      <c r="L345" s="32">
        <v>55.59</v>
      </c>
      <c r="M345" s="32">
        <v>24.4</v>
      </c>
      <c r="N345" s="1" t="s">
        <v>111</v>
      </c>
      <c r="O345" s="1" t="s">
        <v>78</v>
      </c>
    </row>
    <row r="346" spans="1:15" ht="18.95" customHeight="1" x14ac:dyDescent="0.25">
      <c r="A346" s="1" t="s">
        <v>618</v>
      </c>
      <c r="B346" s="30">
        <v>45570.5</v>
      </c>
      <c r="C346" s="1" t="s">
        <v>80</v>
      </c>
      <c r="D346" s="1" t="s">
        <v>81</v>
      </c>
      <c r="E346" s="1" t="s">
        <v>82</v>
      </c>
      <c r="F346" s="1" t="s">
        <v>83</v>
      </c>
      <c r="G346" s="1" t="s">
        <v>179</v>
      </c>
      <c r="H346" s="1" t="s">
        <v>128</v>
      </c>
      <c r="I346" s="31">
        <v>1</v>
      </c>
      <c r="J346" s="32">
        <v>39.99</v>
      </c>
      <c r="K346" s="32">
        <v>39.99</v>
      </c>
      <c r="L346" s="32">
        <v>22.99</v>
      </c>
      <c r="M346" s="32">
        <v>17</v>
      </c>
      <c r="N346" s="1" t="s">
        <v>86</v>
      </c>
      <c r="O346" s="1" t="s">
        <v>78</v>
      </c>
    </row>
    <row r="347" spans="1:15" ht="18.95" customHeight="1" x14ac:dyDescent="0.25">
      <c r="A347" s="1" t="s">
        <v>619</v>
      </c>
      <c r="B347" s="30">
        <v>45570.5</v>
      </c>
      <c r="C347" s="1" t="s">
        <v>525</v>
      </c>
      <c r="D347" s="1" t="s">
        <v>526</v>
      </c>
      <c r="E347" s="1" t="s">
        <v>74</v>
      </c>
      <c r="F347" s="1" t="s">
        <v>74</v>
      </c>
      <c r="G347" s="1" t="s">
        <v>202</v>
      </c>
      <c r="H347" s="1" t="s">
        <v>85</v>
      </c>
      <c r="I347" s="31">
        <v>2</v>
      </c>
      <c r="J347" s="32">
        <v>7.99</v>
      </c>
      <c r="K347" s="32">
        <v>15.98</v>
      </c>
      <c r="L347" s="32">
        <v>8.9499999999999993</v>
      </c>
      <c r="M347" s="32">
        <v>7.03</v>
      </c>
      <c r="N347" s="1" t="s">
        <v>86</v>
      </c>
      <c r="O347" s="1" t="s">
        <v>112</v>
      </c>
    </row>
    <row r="348" spans="1:15" ht="18.95" customHeight="1" x14ac:dyDescent="0.25">
      <c r="A348" s="1" t="s">
        <v>620</v>
      </c>
      <c r="B348" s="30">
        <v>45572.5</v>
      </c>
      <c r="C348" s="1" t="s">
        <v>563</v>
      </c>
      <c r="D348" s="1" t="s">
        <v>564</v>
      </c>
      <c r="E348" s="1" t="s">
        <v>150</v>
      </c>
      <c r="F348" s="1" t="s">
        <v>105</v>
      </c>
      <c r="G348" s="1" t="s">
        <v>319</v>
      </c>
      <c r="H348" s="1" t="s">
        <v>128</v>
      </c>
      <c r="I348" s="31">
        <v>1</v>
      </c>
      <c r="J348" s="32">
        <v>52.24</v>
      </c>
      <c r="K348" s="32">
        <v>52.24</v>
      </c>
      <c r="L348" s="32">
        <v>35.869999999999997</v>
      </c>
      <c r="M348" s="32">
        <v>16.37</v>
      </c>
      <c r="N348" s="1" t="s">
        <v>77</v>
      </c>
      <c r="O348" s="1" t="s">
        <v>78</v>
      </c>
    </row>
    <row r="349" spans="1:15" ht="18.95" customHeight="1" x14ac:dyDescent="0.25">
      <c r="A349" s="1" t="s">
        <v>621</v>
      </c>
      <c r="B349" s="30">
        <v>45573.5</v>
      </c>
      <c r="C349" s="1" t="s">
        <v>204</v>
      </c>
      <c r="D349" s="1" t="s">
        <v>205</v>
      </c>
      <c r="E349" s="1" t="s">
        <v>164</v>
      </c>
      <c r="F349" s="1" t="s">
        <v>165</v>
      </c>
      <c r="G349" s="1" t="s">
        <v>306</v>
      </c>
      <c r="H349" s="1" t="s">
        <v>76</v>
      </c>
      <c r="I349" s="31">
        <v>1</v>
      </c>
      <c r="J349" s="32">
        <v>24.99</v>
      </c>
      <c r="K349" s="32">
        <v>24.99</v>
      </c>
      <c r="L349" s="32">
        <v>14.49</v>
      </c>
      <c r="M349" s="32">
        <v>10.5</v>
      </c>
      <c r="N349" s="1" t="s">
        <v>86</v>
      </c>
      <c r="O349" s="1" t="s">
        <v>118</v>
      </c>
    </row>
    <row r="350" spans="1:15" ht="18.95" customHeight="1" x14ac:dyDescent="0.25">
      <c r="A350" s="1" t="s">
        <v>622</v>
      </c>
      <c r="B350" s="30">
        <v>45573.5</v>
      </c>
      <c r="C350" s="1" t="s">
        <v>623</v>
      </c>
      <c r="D350" s="1" t="s">
        <v>624</v>
      </c>
      <c r="E350" s="1" t="s">
        <v>90</v>
      </c>
      <c r="F350" s="1" t="s">
        <v>91</v>
      </c>
      <c r="G350" s="1" t="s">
        <v>306</v>
      </c>
      <c r="H350" s="1" t="s">
        <v>76</v>
      </c>
      <c r="I350" s="31">
        <v>1</v>
      </c>
      <c r="J350" s="32">
        <v>22.49</v>
      </c>
      <c r="K350" s="32">
        <v>22.49</v>
      </c>
      <c r="L350" s="32">
        <v>13.29</v>
      </c>
      <c r="M350" s="32">
        <v>9.1999999999999993</v>
      </c>
      <c r="N350" s="1" t="s">
        <v>111</v>
      </c>
      <c r="O350" s="1" t="s">
        <v>112</v>
      </c>
    </row>
    <row r="351" spans="1:15" ht="18.95" customHeight="1" x14ac:dyDescent="0.25">
      <c r="A351" s="1" t="s">
        <v>622</v>
      </c>
      <c r="B351" s="30">
        <v>45573.5</v>
      </c>
      <c r="C351" s="1" t="s">
        <v>623</v>
      </c>
      <c r="D351" s="1" t="s">
        <v>624</v>
      </c>
      <c r="E351" s="1" t="s">
        <v>90</v>
      </c>
      <c r="F351" s="1" t="s">
        <v>91</v>
      </c>
      <c r="G351" s="1" t="s">
        <v>319</v>
      </c>
      <c r="H351" s="1" t="s">
        <v>128</v>
      </c>
      <c r="I351" s="31">
        <v>1</v>
      </c>
      <c r="J351" s="32">
        <v>54.99</v>
      </c>
      <c r="K351" s="32">
        <v>54.99</v>
      </c>
      <c r="L351" s="32">
        <v>37.39</v>
      </c>
      <c r="M351" s="32">
        <v>17.600000000000001</v>
      </c>
      <c r="N351" s="1" t="s">
        <v>111</v>
      </c>
      <c r="O351" s="1" t="s">
        <v>112</v>
      </c>
    </row>
    <row r="352" spans="1:15" ht="18.95" customHeight="1" x14ac:dyDescent="0.25">
      <c r="A352" s="1" t="s">
        <v>625</v>
      </c>
      <c r="B352" s="30">
        <v>45574.5</v>
      </c>
      <c r="C352" s="1" t="s">
        <v>626</v>
      </c>
      <c r="D352" s="1" t="s">
        <v>627</v>
      </c>
      <c r="E352" s="1" t="s">
        <v>97</v>
      </c>
      <c r="F352" s="1" t="s">
        <v>91</v>
      </c>
      <c r="G352" s="1" t="s">
        <v>92</v>
      </c>
      <c r="H352" s="1" t="s">
        <v>93</v>
      </c>
      <c r="I352" s="31">
        <v>1</v>
      </c>
      <c r="J352" s="32">
        <v>69.989999999999995</v>
      </c>
      <c r="K352" s="32">
        <v>69.989999999999995</v>
      </c>
      <c r="L352" s="32">
        <v>48.29</v>
      </c>
      <c r="M352" s="32">
        <v>21.7</v>
      </c>
      <c r="N352" s="1" t="s">
        <v>111</v>
      </c>
      <c r="O352" s="1" t="s">
        <v>112</v>
      </c>
    </row>
    <row r="353" spans="1:15" ht="18.95" customHeight="1" x14ac:dyDescent="0.25">
      <c r="A353" s="1" t="s">
        <v>628</v>
      </c>
      <c r="B353" s="30">
        <v>45576.5</v>
      </c>
      <c r="C353" s="1" t="s">
        <v>153</v>
      </c>
      <c r="D353" s="1" t="s">
        <v>154</v>
      </c>
      <c r="E353" s="1" t="s">
        <v>97</v>
      </c>
      <c r="F353" s="1" t="s">
        <v>91</v>
      </c>
      <c r="G353" s="1" t="s">
        <v>98</v>
      </c>
      <c r="H353" s="1" t="s">
        <v>99</v>
      </c>
      <c r="I353" s="31">
        <v>2</v>
      </c>
      <c r="J353" s="32">
        <v>29.99</v>
      </c>
      <c r="K353" s="32">
        <v>59.98</v>
      </c>
      <c r="L353" s="32">
        <v>32.69</v>
      </c>
      <c r="M353" s="32">
        <v>27.29</v>
      </c>
      <c r="N353" s="1" t="s">
        <v>86</v>
      </c>
      <c r="O353" s="1" t="s">
        <v>78</v>
      </c>
    </row>
    <row r="354" spans="1:15" ht="18.95" customHeight="1" x14ac:dyDescent="0.25">
      <c r="A354" s="1" t="s">
        <v>628</v>
      </c>
      <c r="B354" s="30">
        <v>45576.5</v>
      </c>
      <c r="C354" s="1" t="s">
        <v>153</v>
      </c>
      <c r="D354" s="1" t="s">
        <v>154</v>
      </c>
      <c r="E354" s="1" t="s">
        <v>97</v>
      </c>
      <c r="F354" s="1" t="s">
        <v>91</v>
      </c>
      <c r="G354" s="1" t="s">
        <v>143</v>
      </c>
      <c r="H354" s="1" t="s">
        <v>128</v>
      </c>
      <c r="I354" s="31">
        <v>2</v>
      </c>
      <c r="J354" s="32">
        <v>94.99</v>
      </c>
      <c r="K354" s="32">
        <v>189.98</v>
      </c>
      <c r="L354" s="32">
        <v>147.22999999999999</v>
      </c>
      <c r="M354" s="32">
        <v>42.75</v>
      </c>
      <c r="N354" s="1" t="s">
        <v>86</v>
      </c>
      <c r="O354" s="1" t="s">
        <v>78</v>
      </c>
    </row>
    <row r="355" spans="1:15" ht="18.95" customHeight="1" x14ac:dyDescent="0.25">
      <c r="A355" s="1" t="s">
        <v>629</v>
      </c>
      <c r="B355" s="30">
        <v>45576.5</v>
      </c>
      <c r="C355" s="1" t="s">
        <v>508</v>
      </c>
      <c r="D355" s="1" t="s">
        <v>509</v>
      </c>
      <c r="E355" s="1" t="s">
        <v>150</v>
      </c>
      <c r="F355" s="1" t="s">
        <v>105</v>
      </c>
      <c r="G355" s="1" t="s">
        <v>151</v>
      </c>
      <c r="H355" s="1" t="s">
        <v>76</v>
      </c>
      <c r="I355" s="31">
        <v>1</v>
      </c>
      <c r="J355" s="32">
        <v>18.989999999999998</v>
      </c>
      <c r="K355" s="32">
        <v>18.989999999999998</v>
      </c>
      <c r="L355" s="32">
        <v>10.44</v>
      </c>
      <c r="M355" s="32">
        <v>8.5500000000000007</v>
      </c>
      <c r="N355" s="1" t="s">
        <v>86</v>
      </c>
      <c r="O355" s="1" t="s">
        <v>118</v>
      </c>
    </row>
    <row r="356" spans="1:15" ht="18.95" customHeight="1" x14ac:dyDescent="0.25">
      <c r="A356" s="1" t="s">
        <v>630</v>
      </c>
      <c r="B356" s="30">
        <v>45577.5</v>
      </c>
      <c r="C356" s="1" t="s">
        <v>515</v>
      </c>
      <c r="D356" s="1" t="s">
        <v>516</v>
      </c>
      <c r="E356" s="1" t="s">
        <v>136</v>
      </c>
      <c r="F356" s="1" t="s">
        <v>137</v>
      </c>
      <c r="G356" s="1" t="s">
        <v>116</v>
      </c>
      <c r="H356" s="1" t="s">
        <v>76</v>
      </c>
      <c r="I356" s="31">
        <v>6</v>
      </c>
      <c r="J356" s="32">
        <v>14.99</v>
      </c>
      <c r="K356" s="32">
        <v>89.94</v>
      </c>
      <c r="L356" s="32">
        <v>46.77</v>
      </c>
      <c r="M356" s="32">
        <v>43.17</v>
      </c>
      <c r="N356" s="1" t="s">
        <v>77</v>
      </c>
      <c r="O356" s="1" t="s">
        <v>118</v>
      </c>
    </row>
    <row r="357" spans="1:15" ht="18.95" customHeight="1" x14ac:dyDescent="0.25">
      <c r="A357" s="1" t="s">
        <v>631</v>
      </c>
      <c r="B357" s="30">
        <v>45578.5</v>
      </c>
      <c r="C357" s="1" t="s">
        <v>551</v>
      </c>
      <c r="D357" s="1" t="s">
        <v>552</v>
      </c>
      <c r="E357" s="1" t="s">
        <v>193</v>
      </c>
      <c r="F357" s="1" t="s">
        <v>194</v>
      </c>
      <c r="G357" s="1" t="s">
        <v>155</v>
      </c>
      <c r="H357" s="1" t="s">
        <v>93</v>
      </c>
      <c r="I357" s="31">
        <v>1</v>
      </c>
      <c r="J357" s="32">
        <v>27.99</v>
      </c>
      <c r="K357" s="32">
        <v>27.99</v>
      </c>
      <c r="L357" s="32">
        <v>14.83</v>
      </c>
      <c r="M357" s="32">
        <v>13.16</v>
      </c>
      <c r="N357" s="1" t="s">
        <v>86</v>
      </c>
      <c r="O357" s="1" t="s">
        <v>112</v>
      </c>
    </row>
    <row r="358" spans="1:15" ht="18.95" customHeight="1" x14ac:dyDescent="0.25">
      <c r="A358" s="1" t="s">
        <v>632</v>
      </c>
      <c r="B358" s="30">
        <v>45579.5</v>
      </c>
      <c r="C358" s="1" t="s">
        <v>633</v>
      </c>
      <c r="D358" s="1" t="s">
        <v>634</v>
      </c>
      <c r="E358" s="1" t="s">
        <v>193</v>
      </c>
      <c r="F358" s="1" t="s">
        <v>194</v>
      </c>
      <c r="G358" s="1" t="s">
        <v>322</v>
      </c>
      <c r="H358" s="1" t="s">
        <v>128</v>
      </c>
      <c r="I358" s="31">
        <v>1</v>
      </c>
      <c r="J358" s="32">
        <v>53.99</v>
      </c>
      <c r="K358" s="32">
        <v>53.99</v>
      </c>
      <c r="L358" s="32">
        <v>42.11</v>
      </c>
      <c r="M358" s="32">
        <v>11.88</v>
      </c>
      <c r="N358" s="1" t="s">
        <v>86</v>
      </c>
      <c r="O358" s="1" t="s">
        <v>112</v>
      </c>
    </row>
    <row r="359" spans="1:15" ht="18.95" customHeight="1" x14ac:dyDescent="0.25">
      <c r="A359" s="1" t="s">
        <v>635</v>
      </c>
      <c r="B359" s="30">
        <v>45581.5</v>
      </c>
      <c r="C359" s="1" t="s">
        <v>338</v>
      </c>
      <c r="D359" s="1" t="s">
        <v>339</v>
      </c>
      <c r="E359" s="1" t="s">
        <v>243</v>
      </c>
      <c r="F359" s="1" t="s">
        <v>165</v>
      </c>
      <c r="G359" s="1" t="s">
        <v>230</v>
      </c>
      <c r="H359" s="1" t="s">
        <v>128</v>
      </c>
      <c r="I359" s="31">
        <v>2</v>
      </c>
      <c r="J359" s="32">
        <v>44.99</v>
      </c>
      <c r="K359" s="32">
        <v>89.98</v>
      </c>
      <c r="L359" s="32">
        <v>57.14</v>
      </c>
      <c r="M359" s="32">
        <v>32.840000000000003</v>
      </c>
      <c r="N359" s="1" t="s">
        <v>117</v>
      </c>
      <c r="O359" s="1" t="s">
        <v>78</v>
      </c>
    </row>
    <row r="360" spans="1:15" ht="18.95" customHeight="1" x14ac:dyDescent="0.25">
      <c r="A360" s="1" t="s">
        <v>636</v>
      </c>
      <c r="B360" s="30">
        <v>45581.5</v>
      </c>
      <c r="C360" s="1" t="s">
        <v>637</v>
      </c>
      <c r="D360" s="1" t="s">
        <v>638</v>
      </c>
      <c r="E360" s="1" t="s">
        <v>90</v>
      </c>
      <c r="F360" s="1" t="s">
        <v>91</v>
      </c>
      <c r="G360" s="1" t="s">
        <v>226</v>
      </c>
      <c r="H360" s="1" t="s">
        <v>85</v>
      </c>
      <c r="I360" s="31">
        <v>2</v>
      </c>
      <c r="J360" s="32">
        <v>74.989999999999995</v>
      </c>
      <c r="K360" s="32">
        <v>149.97999999999999</v>
      </c>
      <c r="L360" s="32">
        <v>104.99</v>
      </c>
      <c r="M360" s="32">
        <v>44.99</v>
      </c>
      <c r="N360" s="1" t="s">
        <v>117</v>
      </c>
      <c r="O360" s="1" t="s">
        <v>112</v>
      </c>
    </row>
    <row r="361" spans="1:15" ht="18.95" customHeight="1" x14ac:dyDescent="0.25">
      <c r="A361" s="1" t="s">
        <v>639</v>
      </c>
      <c r="B361" s="30">
        <v>45582.5</v>
      </c>
      <c r="C361" s="1" t="s">
        <v>640</v>
      </c>
      <c r="D361" s="1" t="s">
        <v>641</v>
      </c>
      <c r="E361" s="1" t="s">
        <v>330</v>
      </c>
      <c r="F361" s="1" t="s">
        <v>238</v>
      </c>
      <c r="G361" s="1" t="s">
        <v>195</v>
      </c>
      <c r="H361" s="1" t="s">
        <v>128</v>
      </c>
      <c r="I361" s="31">
        <v>2</v>
      </c>
      <c r="J361" s="32">
        <v>139.99</v>
      </c>
      <c r="K361" s="32">
        <v>279.98</v>
      </c>
      <c r="L361" s="32">
        <v>221.18</v>
      </c>
      <c r="M361" s="32">
        <v>58.8</v>
      </c>
      <c r="N361" s="1" t="s">
        <v>117</v>
      </c>
      <c r="O361" s="1" t="s">
        <v>112</v>
      </c>
    </row>
    <row r="362" spans="1:15" ht="18.95" customHeight="1" x14ac:dyDescent="0.25">
      <c r="A362" s="1" t="s">
        <v>642</v>
      </c>
      <c r="B362" s="30">
        <v>45582.5</v>
      </c>
      <c r="C362" s="1" t="s">
        <v>574</v>
      </c>
      <c r="D362" s="1" t="s">
        <v>575</v>
      </c>
      <c r="E362" s="1" t="s">
        <v>104</v>
      </c>
      <c r="F362" s="1" t="s">
        <v>105</v>
      </c>
      <c r="G362" s="1" t="s">
        <v>319</v>
      </c>
      <c r="H362" s="1" t="s">
        <v>128</v>
      </c>
      <c r="I362" s="31">
        <v>1</v>
      </c>
      <c r="J362" s="32">
        <v>54.99</v>
      </c>
      <c r="K362" s="32">
        <v>54.99</v>
      </c>
      <c r="L362" s="32">
        <v>36.020000000000003</v>
      </c>
      <c r="M362" s="32">
        <v>18.97</v>
      </c>
      <c r="N362" s="1" t="s">
        <v>86</v>
      </c>
      <c r="O362" s="1" t="s">
        <v>78</v>
      </c>
    </row>
    <row r="363" spans="1:15" ht="18.95" customHeight="1" x14ac:dyDescent="0.25">
      <c r="A363" s="1" t="s">
        <v>643</v>
      </c>
      <c r="B363" s="30">
        <v>45582.5</v>
      </c>
      <c r="C363" s="1" t="s">
        <v>521</v>
      </c>
      <c r="D363" s="1" t="s">
        <v>522</v>
      </c>
      <c r="E363" s="1" t="s">
        <v>74</v>
      </c>
      <c r="F363" s="1" t="s">
        <v>74</v>
      </c>
      <c r="G363" s="1" t="s">
        <v>188</v>
      </c>
      <c r="H363" s="1" t="s">
        <v>76</v>
      </c>
      <c r="I363" s="31">
        <v>1</v>
      </c>
      <c r="J363" s="32">
        <v>72.239999999999995</v>
      </c>
      <c r="K363" s="32">
        <v>72.239999999999995</v>
      </c>
      <c r="L363" s="32">
        <v>59.94</v>
      </c>
      <c r="M363" s="32">
        <v>12.3</v>
      </c>
      <c r="N363" s="1" t="s">
        <v>117</v>
      </c>
      <c r="O363" s="1" t="s">
        <v>233</v>
      </c>
    </row>
    <row r="364" spans="1:15" ht="18.95" customHeight="1" x14ac:dyDescent="0.25">
      <c r="A364" s="1" t="s">
        <v>644</v>
      </c>
      <c r="B364" s="30">
        <v>45583.5</v>
      </c>
      <c r="C364" s="1" t="s">
        <v>373</v>
      </c>
      <c r="D364" s="1" t="s">
        <v>374</v>
      </c>
      <c r="E364" s="1" t="s">
        <v>90</v>
      </c>
      <c r="F364" s="1" t="s">
        <v>91</v>
      </c>
      <c r="G364" s="1" t="s">
        <v>322</v>
      </c>
      <c r="H364" s="1" t="s">
        <v>128</v>
      </c>
      <c r="I364" s="31">
        <v>1</v>
      </c>
      <c r="J364" s="32">
        <v>59.99</v>
      </c>
      <c r="K364" s="32">
        <v>59.99</v>
      </c>
      <c r="L364" s="32">
        <v>41.09</v>
      </c>
      <c r="M364" s="32">
        <v>18.899999999999999</v>
      </c>
      <c r="N364" s="1" t="s">
        <v>86</v>
      </c>
      <c r="O364" s="1" t="s">
        <v>78</v>
      </c>
    </row>
    <row r="365" spans="1:15" ht="18.95" customHeight="1" x14ac:dyDescent="0.25">
      <c r="A365" s="1" t="s">
        <v>644</v>
      </c>
      <c r="B365" s="30">
        <v>45583.5</v>
      </c>
      <c r="C365" s="1" t="s">
        <v>373</v>
      </c>
      <c r="D365" s="1" t="s">
        <v>374</v>
      </c>
      <c r="E365" s="1" t="s">
        <v>90</v>
      </c>
      <c r="F365" s="1" t="s">
        <v>91</v>
      </c>
      <c r="G365" s="1" t="s">
        <v>319</v>
      </c>
      <c r="H365" s="1" t="s">
        <v>128</v>
      </c>
      <c r="I365" s="31">
        <v>2</v>
      </c>
      <c r="J365" s="32">
        <v>54.99</v>
      </c>
      <c r="K365" s="32">
        <v>109.98</v>
      </c>
      <c r="L365" s="32">
        <v>72.040000000000006</v>
      </c>
      <c r="M365" s="32">
        <v>37.94</v>
      </c>
      <c r="N365" s="1" t="s">
        <v>86</v>
      </c>
      <c r="O365" s="1" t="s">
        <v>78</v>
      </c>
    </row>
    <row r="366" spans="1:15" ht="18.95" customHeight="1" x14ac:dyDescent="0.25">
      <c r="A366" s="1" t="s">
        <v>645</v>
      </c>
      <c r="B366" s="30">
        <v>45584.5</v>
      </c>
      <c r="C366" s="1" t="s">
        <v>186</v>
      </c>
      <c r="D366" s="1" t="s">
        <v>187</v>
      </c>
      <c r="E366" s="1" t="s">
        <v>169</v>
      </c>
      <c r="F366" s="1" t="s">
        <v>170</v>
      </c>
      <c r="G366" s="1" t="s">
        <v>189</v>
      </c>
      <c r="H366" s="1" t="s">
        <v>93</v>
      </c>
      <c r="I366" s="31">
        <v>1</v>
      </c>
      <c r="J366" s="32">
        <v>44.99</v>
      </c>
      <c r="K366" s="32">
        <v>44.99</v>
      </c>
      <c r="L366" s="32">
        <v>26.77</v>
      </c>
      <c r="M366" s="32">
        <v>18.22</v>
      </c>
      <c r="N366" s="1" t="s">
        <v>117</v>
      </c>
      <c r="O366" s="1" t="s">
        <v>78</v>
      </c>
    </row>
    <row r="367" spans="1:15" ht="18.95" customHeight="1" x14ac:dyDescent="0.25">
      <c r="A367" s="1" t="s">
        <v>646</v>
      </c>
      <c r="B367" s="30">
        <v>45588.5</v>
      </c>
      <c r="C367" s="1" t="s">
        <v>288</v>
      </c>
      <c r="D367" s="1" t="s">
        <v>289</v>
      </c>
      <c r="E367" s="1" t="s">
        <v>104</v>
      </c>
      <c r="F367" s="1" t="s">
        <v>105</v>
      </c>
      <c r="G367" s="1" t="s">
        <v>259</v>
      </c>
      <c r="H367" s="1" t="s">
        <v>85</v>
      </c>
      <c r="I367" s="31">
        <v>2</v>
      </c>
      <c r="J367" s="32">
        <v>199.99</v>
      </c>
      <c r="K367" s="32">
        <v>399.98</v>
      </c>
      <c r="L367" s="32">
        <v>317.98</v>
      </c>
      <c r="M367" s="32">
        <v>82</v>
      </c>
      <c r="N367" s="1" t="s">
        <v>77</v>
      </c>
      <c r="O367" s="1" t="s">
        <v>78</v>
      </c>
    </row>
    <row r="368" spans="1:15" ht="18.95" customHeight="1" x14ac:dyDescent="0.25">
      <c r="A368" s="1" t="s">
        <v>646</v>
      </c>
      <c r="B368" s="30">
        <v>45588.5</v>
      </c>
      <c r="C368" s="1" t="s">
        <v>288</v>
      </c>
      <c r="D368" s="1" t="s">
        <v>289</v>
      </c>
      <c r="E368" s="1" t="s">
        <v>104</v>
      </c>
      <c r="F368" s="1" t="s">
        <v>105</v>
      </c>
      <c r="G368" s="1" t="s">
        <v>157</v>
      </c>
      <c r="H368" s="1" t="s">
        <v>93</v>
      </c>
      <c r="I368" s="31">
        <v>1</v>
      </c>
      <c r="J368" s="32">
        <v>18.989999999999998</v>
      </c>
      <c r="K368" s="32">
        <v>18.989999999999998</v>
      </c>
      <c r="L368" s="32">
        <v>9.84</v>
      </c>
      <c r="M368" s="32">
        <v>9.15</v>
      </c>
      <c r="N368" s="1" t="s">
        <v>77</v>
      </c>
      <c r="O368" s="1" t="s">
        <v>78</v>
      </c>
    </row>
    <row r="369" spans="1:15" ht="18.95" customHeight="1" x14ac:dyDescent="0.25">
      <c r="A369" s="1" t="s">
        <v>647</v>
      </c>
      <c r="B369" s="30">
        <v>45589.5</v>
      </c>
      <c r="C369" s="1" t="s">
        <v>102</v>
      </c>
      <c r="D369" s="1" t="s">
        <v>103</v>
      </c>
      <c r="E369" s="1" t="s">
        <v>104</v>
      </c>
      <c r="F369" s="1" t="s">
        <v>105</v>
      </c>
      <c r="G369" s="1" t="s">
        <v>189</v>
      </c>
      <c r="H369" s="1" t="s">
        <v>93</v>
      </c>
      <c r="I369" s="31">
        <v>2</v>
      </c>
      <c r="J369" s="32">
        <v>42.74</v>
      </c>
      <c r="K369" s="32">
        <v>85.48</v>
      </c>
      <c r="L369" s="32">
        <v>53.29</v>
      </c>
      <c r="M369" s="32">
        <v>32.19</v>
      </c>
      <c r="N369" s="1" t="s">
        <v>77</v>
      </c>
      <c r="O369" s="1" t="s">
        <v>78</v>
      </c>
    </row>
    <row r="370" spans="1:15" ht="18.95" customHeight="1" x14ac:dyDescent="0.25">
      <c r="A370" s="1" t="s">
        <v>648</v>
      </c>
      <c r="B370" s="30">
        <v>45589.5</v>
      </c>
      <c r="C370" s="1" t="s">
        <v>596</v>
      </c>
      <c r="D370" s="1" t="s">
        <v>597</v>
      </c>
      <c r="E370" s="1" t="s">
        <v>104</v>
      </c>
      <c r="F370" s="1" t="s">
        <v>105</v>
      </c>
      <c r="G370" s="1" t="s">
        <v>92</v>
      </c>
      <c r="H370" s="1" t="s">
        <v>93</v>
      </c>
      <c r="I370" s="31">
        <v>1</v>
      </c>
      <c r="J370" s="32">
        <v>66.489999999999995</v>
      </c>
      <c r="K370" s="32">
        <v>66.489999999999995</v>
      </c>
      <c r="L370" s="32">
        <v>46.35</v>
      </c>
      <c r="M370" s="32">
        <v>20.14</v>
      </c>
      <c r="N370" s="1" t="s">
        <v>77</v>
      </c>
      <c r="O370" s="1" t="s">
        <v>78</v>
      </c>
    </row>
    <row r="371" spans="1:15" ht="18.95" customHeight="1" x14ac:dyDescent="0.25">
      <c r="A371" s="1" t="s">
        <v>648</v>
      </c>
      <c r="B371" s="30">
        <v>45589.5</v>
      </c>
      <c r="C371" s="1" t="s">
        <v>596</v>
      </c>
      <c r="D371" s="1" t="s">
        <v>597</v>
      </c>
      <c r="E371" s="1" t="s">
        <v>104</v>
      </c>
      <c r="F371" s="1" t="s">
        <v>105</v>
      </c>
      <c r="G371" s="1" t="s">
        <v>98</v>
      </c>
      <c r="H371" s="1" t="s">
        <v>99</v>
      </c>
      <c r="I371" s="31">
        <v>1</v>
      </c>
      <c r="J371" s="32">
        <v>26.99</v>
      </c>
      <c r="K371" s="32">
        <v>26.99</v>
      </c>
      <c r="L371" s="32">
        <v>16.18</v>
      </c>
      <c r="M371" s="32">
        <v>10.81</v>
      </c>
      <c r="N371" s="1" t="s">
        <v>77</v>
      </c>
      <c r="O371" s="1" t="s">
        <v>78</v>
      </c>
    </row>
    <row r="372" spans="1:15" ht="18.95" customHeight="1" x14ac:dyDescent="0.25">
      <c r="A372" s="1" t="s">
        <v>649</v>
      </c>
      <c r="B372" s="30">
        <v>45590.5</v>
      </c>
      <c r="C372" s="1" t="s">
        <v>385</v>
      </c>
      <c r="D372" s="1" t="s">
        <v>386</v>
      </c>
      <c r="E372" s="1" t="s">
        <v>150</v>
      </c>
      <c r="F372" s="1" t="s">
        <v>105</v>
      </c>
      <c r="G372" s="1" t="s">
        <v>322</v>
      </c>
      <c r="H372" s="1" t="s">
        <v>128</v>
      </c>
      <c r="I372" s="31">
        <v>1</v>
      </c>
      <c r="J372" s="32">
        <v>53.99</v>
      </c>
      <c r="K372" s="32">
        <v>53.99</v>
      </c>
      <c r="L372" s="32">
        <v>42.11</v>
      </c>
      <c r="M372" s="32">
        <v>11.88</v>
      </c>
      <c r="N372" s="1" t="s">
        <v>117</v>
      </c>
      <c r="O372" s="1" t="s">
        <v>112</v>
      </c>
    </row>
    <row r="373" spans="1:15" ht="18.95" customHeight="1" x14ac:dyDescent="0.25">
      <c r="A373" s="1" t="s">
        <v>650</v>
      </c>
      <c r="B373" s="30">
        <v>45591.5</v>
      </c>
      <c r="C373" s="1" t="s">
        <v>338</v>
      </c>
      <c r="D373" s="1" t="s">
        <v>339</v>
      </c>
      <c r="E373" s="1" t="s">
        <v>243</v>
      </c>
      <c r="F373" s="1" t="s">
        <v>165</v>
      </c>
      <c r="G373" s="1" t="s">
        <v>319</v>
      </c>
      <c r="H373" s="1" t="s">
        <v>128</v>
      </c>
      <c r="I373" s="31">
        <v>2</v>
      </c>
      <c r="J373" s="32">
        <v>54.99</v>
      </c>
      <c r="K373" s="32">
        <v>109.98</v>
      </c>
      <c r="L373" s="32">
        <v>72.040000000000006</v>
      </c>
      <c r="M373" s="32">
        <v>37.94</v>
      </c>
      <c r="N373" s="1" t="s">
        <v>86</v>
      </c>
      <c r="O373" s="1" t="s">
        <v>78</v>
      </c>
    </row>
    <row r="374" spans="1:15" ht="18.95" customHeight="1" x14ac:dyDescent="0.25">
      <c r="A374" s="1" t="s">
        <v>651</v>
      </c>
      <c r="B374" s="30">
        <v>45592.5</v>
      </c>
      <c r="C374" s="1" t="s">
        <v>162</v>
      </c>
      <c r="D374" s="1" t="s">
        <v>163</v>
      </c>
      <c r="E374" s="1" t="s">
        <v>164</v>
      </c>
      <c r="F374" s="1" t="s">
        <v>165</v>
      </c>
      <c r="G374" s="1" t="s">
        <v>319</v>
      </c>
      <c r="H374" s="1" t="s">
        <v>128</v>
      </c>
      <c r="I374" s="31">
        <v>1</v>
      </c>
      <c r="J374" s="32">
        <v>54.99</v>
      </c>
      <c r="K374" s="32">
        <v>54.99</v>
      </c>
      <c r="L374" s="32">
        <v>39.590000000000003</v>
      </c>
      <c r="M374" s="32">
        <v>15.4</v>
      </c>
      <c r="N374" s="1" t="s">
        <v>117</v>
      </c>
      <c r="O374" s="1" t="s">
        <v>118</v>
      </c>
    </row>
    <row r="375" spans="1:15" ht="18.95" customHeight="1" x14ac:dyDescent="0.25">
      <c r="A375" s="1" t="s">
        <v>651</v>
      </c>
      <c r="B375" s="30">
        <v>45592.5</v>
      </c>
      <c r="C375" s="1" t="s">
        <v>162</v>
      </c>
      <c r="D375" s="1" t="s">
        <v>163</v>
      </c>
      <c r="E375" s="1" t="s">
        <v>164</v>
      </c>
      <c r="F375" s="1" t="s">
        <v>165</v>
      </c>
      <c r="G375" s="1" t="s">
        <v>157</v>
      </c>
      <c r="H375" s="1" t="s">
        <v>93</v>
      </c>
      <c r="I375" s="31">
        <v>1</v>
      </c>
      <c r="J375" s="32">
        <v>19.989999999999998</v>
      </c>
      <c r="K375" s="32">
        <v>19.989999999999998</v>
      </c>
      <c r="L375" s="32">
        <v>11.19</v>
      </c>
      <c r="M375" s="32">
        <v>8.8000000000000007</v>
      </c>
      <c r="N375" s="1" t="s">
        <v>117</v>
      </c>
      <c r="O375" s="1" t="s">
        <v>118</v>
      </c>
    </row>
    <row r="376" spans="1:15" ht="18.95" customHeight="1" x14ac:dyDescent="0.25">
      <c r="A376" s="1" t="s">
        <v>652</v>
      </c>
      <c r="B376" s="30">
        <v>45593.5</v>
      </c>
      <c r="C376" s="1" t="s">
        <v>653</v>
      </c>
      <c r="D376" s="1" t="s">
        <v>654</v>
      </c>
      <c r="E376" s="1" t="s">
        <v>82</v>
      </c>
      <c r="F376" s="1" t="s">
        <v>83</v>
      </c>
      <c r="G376" s="1" t="s">
        <v>110</v>
      </c>
      <c r="H376" s="1" t="s">
        <v>85</v>
      </c>
      <c r="I376" s="31">
        <v>1</v>
      </c>
      <c r="J376" s="32">
        <v>12.99</v>
      </c>
      <c r="K376" s="32">
        <v>12.99</v>
      </c>
      <c r="L376" s="32">
        <v>7.01</v>
      </c>
      <c r="M376" s="32">
        <v>5.98</v>
      </c>
      <c r="N376" s="1" t="s">
        <v>86</v>
      </c>
      <c r="O376" s="1" t="s">
        <v>118</v>
      </c>
    </row>
    <row r="377" spans="1:15" ht="18.95" customHeight="1" x14ac:dyDescent="0.25">
      <c r="A377" s="1" t="s">
        <v>655</v>
      </c>
      <c r="B377" s="30">
        <v>45593.5</v>
      </c>
      <c r="C377" s="1" t="s">
        <v>291</v>
      </c>
      <c r="D377" s="1" t="s">
        <v>292</v>
      </c>
      <c r="E377" s="1" t="s">
        <v>90</v>
      </c>
      <c r="F377" s="1" t="s">
        <v>91</v>
      </c>
      <c r="G377" s="1" t="s">
        <v>110</v>
      </c>
      <c r="H377" s="1" t="s">
        <v>85</v>
      </c>
      <c r="I377" s="31">
        <v>1</v>
      </c>
      <c r="J377" s="32">
        <v>12.99</v>
      </c>
      <c r="K377" s="32">
        <v>12.99</v>
      </c>
      <c r="L377" s="32">
        <v>7.01</v>
      </c>
      <c r="M377" s="32">
        <v>5.98</v>
      </c>
      <c r="N377" s="1" t="s">
        <v>117</v>
      </c>
      <c r="O377" s="1" t="s">
        <v>118</v>
      </c>
    </row>
    <row r="378" spans="1:15" ht="18.95" customHeight="1" x14ac:dyDescent="0.25">
      <c r="A378" s="1" t="s">
        <v>656</v>
      </c>
      <c r="B378" s="30">
        <v>45594.5</v>
      </c>
      <c r="C378" s="1" t="s">
        <v>467</v>
      </c>
      <c r="D378" s="1" t="s">
        <v>468</v>
      </c>
      <c r="E378" s="1" t="s">
        <v>90</v>
      </c>
      <c r="F378" s="1" t="s">
        <v>91</v>
      </c>
      <c r="G378" s="1" t="s">
        <v>189</v>
      </c>
      <c r="H378" s="1" t="s">
        <v>93</v>
      </c>
      <c r="I378" s="31">
        <v>3</v>
      </c>
      <c r="J378" s="32">
        <v>40.49</v>
      </c>
      <c r="K378" s="32">
        <v>121.47</v>
      </c>
      <c r="L378" s="32">
        <v>82.6</v>
      </c>
      <c r="M378" s="32">
        <v>38.869999999999997</v>
      </c>
      <c r="N378" s="1" t="s">
        <v>117</v>
      </c>
      <c r="O378" s="1" t="s">
        <v>112</v>
      </c>
    </row>
    <row r="379" spans="1:15" ht="18.95" customHeight="1" x14ac:dyDescent="0.25">
      <c r="A379" s="1" t="s">
        <v>656</v>
      </c>
      <c r="B379" s="30">
        <v>45594.5</v>
      </c>
      <c r="C379" s="1" t="s">
        <v>467</v>
      </c>
      <c r="D379" s="1" t="s">
        <v>468</v>
      </c>
      <c r="E379" s="1" t="s">
        <v>90</v>
      </c>
      <c r="F379" s="1" t="s">
        <v>91</v>
      </c>
      <c r="G379" s="1" t="s">
        <v>226</v>
      </c>
      <c r="H379" s="1" t="s">
        <v>85</v>
      </c>
      <c r="I379" s="31">
        <v>3</v>
      </c>
      <c r="J379" s="32">
        <v>74.989999999999995</v>
      </c>
      <c r="K379" s="32">
        <v>224.97</v>
      </c>
      <c r="L379" s="32">
        <v>157.47999999999999</v>
      </c>
      <c r="M379" s="32">
        <v>67.489999999999995</v>
      </c>
      <c r="N379" s="1" t="s">
        <v>117</v>
      </c>
      <c r="O379" s="1" t="s">
        <v>112</v>
      </c>
    </row>
    <row r="380" spans="1:15" ht="18.95" customHeight="1" x14ac:dyDescent="0.25">
      <c r="A380" s="1" t="s">
        <v>657</v>
      </c>
      <c r="B380" s="30">
        <v>45595.5</v>
      </c>
      <c r="C380" s="1" t="s">
        <v>658</v>
      </c>
      <c r="D380" s="1" t="s">
        <v>659</v>
      </c>
      <c r="E380" s="1" t="s">
        <v>90</v>
      </c>
      <c r="F380" s="1" t="s">
        <v>91</v>
      </c>
      <c r="G380" s="1" t="s">
        <v>92</v>
      </c>
      <c r="H380" s="1" t="s">
        <v>93</v>
      </c>
      <c r="I380" s="31">
        <v>2</v>
      </c>
      <c r="J380" s="32">
        <v>69.989999999999995</v>
      </c>
      <c r="K380" s="32">
        <v>139.97999999999999</v>
      </c>
      <c r="L380" s="32">
        <v>93.09</v>
      </c>
      <c r="M380" s="32">
        <v>46.89</v>
      </c>
      <c r="N380" s="1" t="s">
        <v>77</v>
      </c>
      <c r="O380" s="1" t="s">
        <v>78</v>
      </c>
    </row>
    <row r="381" spans="1:15" ht="18.95" customHeight="1" x14ac:dyDescent="0.25">
      <c r="A381" s="1" t="s">
        <v>660</v>
      </c>
      <c r="B381" s="30">
        <v>45596.5</v>
      </c>
      <c r="C381" s="1" t="s">
        <v>134</v>
      </c>
      <c r="D381" s="1" t="s">
        <v>135</v>
      </c>
      <c r="E381" s="1" t="s">
        <v>136</v>
      </c>
      <c r="F381" s="1" t="s">
        <v>137</v>
      </c>
      <c r="G381" s="1" t="s">
        <v>226</v>
      </c>
      <c r="H381" s="1" t="s">
        <v>85</v>
      </c>
      <c r="I381" s="31">
        <v>2</v>
      </c>
      <c r="J381" s="32">
        <v>74.989999999999995</v>
      </c>
      <c r="K381" s="32">
        <v>149.97999999999999</v>
      </c>
      <c r="L381" s="32">
        <v>102.74</v>
      </c>
      <c r="M381" s="32">
        <v>47.24</v>
      </c>
      <c r="N381" s="1" t="s">
        <v>279</v>
      </c>
      <c r="O381" s="1" t="s">
        <v>233</v>
      </c>
    </row>
    <row r="382" spans="1:15" ht="18.95" customHeight="1" x14ac:dyDescent="0.25">
      <c r="A382" s="1" t="s">
        <v>660</v>
      </c>
      <c r="B382" s="30">
        <v>45596.5</v>
      </c>
      <c r="C382" s="1" t="s">
        <v>134</v>
      </c>
      <c r="D382" s="1" t="s">
        <v>135</v>
      </c>
      <c r="E382" s="1" t="s">
        <v>136</v>
      </c>
      <c r="F382" s="1" t="s">
        <v>137</v>
      </c>
      <c r="G382" s="1" t="s">
        <v>110</v>
      </c>
      <c r="H382" s="1" t="s">
        <v>85</v>
      </c>
      <c r="I382" s="31">
        <v>3</v>
      </c>
      <c r="J382" s="32">
        <v>12.99</v>
      </c>
      <c r="K382" s="32">
        <v>38.97</v>
      </c>
      <c r="L382" s="32">
        <v>18.899999999999999</v>
      </c>
      <c r="M382" s="32">
        <v>20.07</v>
      </c>
      <c r="N382" s="1" t="s">
        <v>279</v>
      </c>
      <c r="O382" s="1" t="s">
        <v>233</v>
      </c>
    </row>
    <row r="383" spans="1:15" ht="18.95" customHeight="1" x14ac:dyDescent="0.25">
      <c r="A383" s="1" t="s">
        <v>660</v>
      </c>
      <c r="B383" s="30">
        <v>45596.5</v>
      </c>
      <c r="C383" s="1" t="s">
        <v>134</v>
      </c>
      <c r="D383" s="1" t="s">
        <v>135</v>
      </c>
      <c r="E383" s="1" t="s">
        <v>136</v>
      </c>
      <c r="F383" s="1" t="s">
        <v>137</v>
      </c>
      <c r="G383" s="1" t="s">
        <v>188</v>
      </c>
      <c r="H383" s="1" t="s">
        <v>76</v>
      </c>
      <c r="I383" s="31">
        <v>1</v>
      </c>
      <c r="J383" s="32">
        <v>84.99</v>
      </c>
      <c r="K383" s="32">
        <v>84.99</v>
      </c>
      <c r="L383" s="32">
        <v>60.77</v>
      </c>
      <c r="M383" s="32">
        <v>24.22</v>
      </c>
      <c r="N383" s="1" t="s">
        <v>279</v>
      </c>
      <c r="O383" s="1" t="s">
        <v>233</v>
      </c>
    </row>
    <row r="384" spans="1:15" ht="18.95" customHeight="1" x14ac:dyDescent="0.25">
      <c r="A384" s="1" t="s">
        <v>661</v>
      </c>
      <c r="B384" s="30">
        <v>45600.5</v>
      </c>
      <c r="C384" s="1" t="s">
        <v>267</v>
      </c>
      <c r="D384" s="1" t="s">
        <v>268</v>
      </c>
      <c r="E384" s="1" t="s">
        <v>212</v>
      </c>
      <c r="F384" s="1" t="s">
        <v>83</v>
      </c>
      <c r="G384" s="1" t="s">
        <v>84</v>
      </c>
      <c r="H384" s="1" t="s">
        <v>85</v>
      </c>
      <c r="I384" s="31">
        <v>2</v>
      </c>
      <c r="J384" s="32">
        <v>8.99</v>
      </c>
      <c r="K384" s="32">
        <v>17.98</v>
      </c>
      <c r="L384" s="32">
        <v>8</v>
      </c>
      <c r="M384" s="32">
        <v>9.98</v>
      </c>
      <c r="N384" s="1" t="s">
        <v>77</v>
      </c>
      <c r="O384" s="1" t="s">
        <v>78</v>
      </c>
    </row>
    <row r="385" spans="1:15" ht="18.95" customHeight="1" x14ac:dyDescent="0.25">
      <c r="A385" s="1" t="s">
        <v>662</v>
      </c>
      <c r="B385" s="30">
        <v>45600.5</v>
      </c>
      <c r="C385" s="1" t="s">
        <v>663</v>
      </c>
      <c r="D385" s="1" t="s">
        <v>664</v>
      </c>
      <c r="E385" s="1" t="s">
        <v>183</v>
      </c>
      <c r="F385" s="1" t="s">
        <v>137</v>
      </c>
      <c r="G385" s="1" t="s">
        <v>202</v>
      </c>
      <c r="H385" s="1" t="s">
        <v>85</v>
      </c>
      <c r="I385" s="31">
        <v>1</v>
      </c>
      <c r="J385" s="32">
        <v>7.59</v>
      </c>
      <c r="K385" s="32">
        <v>7.59</v>
      </c>
      <c r="L385" s="32">
        <v>4.33</v>
      </c>
      <c r="M385" s="32">
        <v>3.26</v>
      </c>
      <c r="N385" s="1" t="s">
        <v>279</v>
      </c>
      <c r="O385" s="1" t="s">
        <v>233</v>
      </c>
    </row>
    <row r="386" spans="1:15" ht="18.95" customHeight="1" x14ac:dyDescent="0.25">
      <c r="A386" s="1" t="s">
        <v>662</v>
      </c>
      <c r="B386" s="30">
        <v>45600.5</v>
      </c>
      <c r="C386" s="1" t="s">
        <v>663</v>
      </c>
      <c r="D386" s="1" t="s">
        <v>664</v>
      </c>
      <c r="E386" s="1" t="s">
        <v>183</v>
      </c>
      <c r="F386" s="1" t="s">
        <v>137</v>
      </c>
      <c r="G386" s="1" t="s">
        <v>188</v>
      </c>
      <c r="H386" s="1" t="s">
        <v>76</v>
      </c>
      <c r="I386" s="31">
        <v>4</v>
      </c>
      <c r="J386" s="32">
        <v>76.489999999999995</v>
      </c>
      <c r="K386" s="32">
        <v>305.95999999999998</v>
      </c>
      <c r="L386" s="32">
        <v>240.86</v>
      </c>
      <c r="M386" s="32">
        <v>65.099999999999994</v>
      </c>
      <c r="N386" s="1" t="s">
        <v>279</v>
      </c>
      <c r="O386" s="1" t="s">
        <v>233</v>
      </c>
    </row>
    <row r="387" spans="1:15" ht="18.95" customHeight="1" x14ac:dyDescent="0.25">
      <c r="A387" s="1" t="s">
        <v>665</v>
      </c>
      <c r="B387" s="30">
        <v>45602.5</v>
      </c>
      <c r="C387" s="1" t="s">
        <v>467</v>
      </c>
      <c r="D387" s="1" t="s">
        <v>468</v>
      </c>
      <c r="E387" s="1" t="s">
        <v>90</v>
      </c>
      <c r="F387" s="1" t="s">
        <v>91</v>
      </c>
      <c r="G387" s="1" t="s">
        <v>143</v>
      </c>
      <c r="H387" s="1" t="s">
        <v>128</v>
      </c>
      <c r="I387" s="31">
        <v>1</v>
      </c>
      <c r="J387" s="32">
        <v>94.99</v>
      </c>
      <c r="K387" s="32">
        <v>94.99</v>
      </c>
      <c r="L387" s="32">
        <v>73.62</v>
      </c>
      <c r="M387" s="32">
        <v>21.37</v>
      </c>
      <c r="N387" s="1" t="s">
        <v>111</v>
      </c>
      <c r="O387" s="1" t="s">
        <v>78</v>
      </c>
    </row>
    <row r="388" spans="1:15" ht="18.95" customHeight="1" x14ac:dyDescent="0.25">
      <c r="A388" s="1" t="s">
        <v>666</v>
      </c>
      <c r="B388" s="30">
        <v>45603.5</v>
      </c>
      <c r="C388" s="1" t="s">
        <v>153</v>
      </c>
      <c r="D388" s="1" t="s">
        <v>154</v>
      </c>
      <c r="E388" s="1" t="s">
        <v>97</v>
      </c>
      <c r="F388" s="1" t="s">
        <v>91</v>
      </c>
      <c r="G388" s="1" t="s">
        <v>230</v>
      </c>
      <c r="H388" s="1" t="s">
        <v>128</v>
      </c>
      <c r="I388" s="31">
        <v>1</v>
      </c>
      <c r="J388" s="32">
        <v>38.24</v>
      </c>
      <c r="K388" s="32">
        <v>38.24</v>
      </c>
      <c r="L388" s="32">
        <v>29.15</v>
      </c>
      <c r="M388" s="32">
        <v>9.09</v>
      </c>
      <c r="N388" s="1" t="s">
        <v>86</v>
      </c>
      <c r="O388" s="1" t="s">
        <v>112</v>
      </c>
    </row>
    <row r="389" spans="1:15" ht="18.95" customHeight="1" x14ac:dyDescent="0.25">
      <c r="A389" s="1" t="s">
        <v>666</v>
      </c>
      <c r="B389" s="30">
        <v>45603.5</v>
      </c>
      <c r="C389" s="1" t="s">
        <v>153</v>
      </c>
      <c r="D389" s="1" t="s">
        <v>154</v>
      </c>
      <c r="E389" s="1" t="s">
        <v>97</v>
      </c>
      <c r="F389" s="1" t="s">
        <v>91</v>
      </c>
      <c r="G389" s="1" t="s">
        <v>84</v>
      </c>
      <c r="H389" s="1" t="s">
        <v>85</v>
      </c>
      <c r="I389" s="31">
        <v>1</v>
      </c>
      <c r="J389" s="32">
        <v>8.99</v>
      </c>
      <c r="K389" s="32">
        <v>8.99</v>
      </c>
      <c r="L389" s="32">
        <v>4.2300000000000004</v>
      </c>
      <c r="M389" s="32">
        <v>4.76</v>
      </c>
      <c r="N389" s="1" t="s">
        <v>86</v>
      </c>
      <c r="O389" s="1" t="s">
        <v>112</v>
      </c>
    </row>
    <row r="390" spans="1:15" ht="18.95" customHeight="1" x14ac:dyDescent="0.25">
      <c r="A390" s="1" t="s">
        <v>667</v>
      </c>
      <c r="B390" s="30">
        <v>45603.5</v>
      </c>
      <c r="C390" s="1" t="s">
        <v>210</v>
      </c>
      <c r="D390" s="1" t="s">
        <v>211</v>
      </c>
      <c r="E390" s="1" t="s">
        <v>212</v>
      </c>
      <c r="F390" s="1" t="s">
        <v>83</v>
      </c>
      <c r="G390" s="1" t="s">
        <v>226</v>
      </c>
      <c r="H390" s="1" t="s">
        <v>85</v>
      </c>
      <c r="I390" s="31">
        <v>2</v>
      </c>
      <c r="J390" s="32">
        <v>67.489999999999995</v>
      </c>
      <c r="K390" s="32">
        <v>134.97999999999999</v>
      </c>
      <c r="L390" s="32">
        <v>109.19</v>
      </c>
      <c r="M390" s="32">
        <v>25.79</v>
      </c>
      <c r="N390" s="1" t="s">
        <v>117</v>
      </c>
      <c r="O390" s="1" t="s">
        <v>118</v>
      </c>
    </row>
    <row r="391" spans="1:15" ht="18.95" customHeight="1" x14ac:dyDescent="0.25">
      <c r="A391" s="1" t="s">
        <v>667</v>
      </c>
      <c r="B391" s="30">
        <v>45603.5</v>
      </c>
      <c r="C391" s="1" t="s">
        <v>210</v>
      </c>
      <c r="D391" s="1" t="s">
        <v>211</v>
      </c>
      <c r="E391" s="1" t="s">
        <v>212</v>
      </c>
      <c r="F391" s="1" t="s">
        <v>83</v>
      </c>
      <c r="G391" s="1" t="s">
        <v>202</v>
      </c>
      <c r="H391" s="1" t="s">
        <v>85</v>
      </c>
      <c r="I391" s="31">
        <v>1</v>
      </c>
      <c r="J391" s="32">
        <v>6.79</v>
      </c>
      <c r="K391" s="32">
        <v>6.79</v>
      </c>
      <c r="L391" s="32">
        <v>4.6500000000000004</v>
      </c>
      <c r="M391" s="32">
        <v>2.14</v>
      </c>
      <c r="N391" s="1" t="s">
        <v>117</v>
      </c>
      <c r="O391" s="1" t="s">
        <v>118</v>
      </c>
    </row>
    <row r="392" spans="1:15" ht="18.95" customHeight="1" x14ac:dyDescent="0.25">
      <c r="A392" s="1" t="s">
        <v>668</v>
      </c>
      <c r="B392" s="30">
        <v>45603.5</v>
      </c>
      <c r="C392" s="1" t="s">
        <v>669</v>
      </c>
      <c r="D392" s="1" t="s">
        <v>670</v>
      </c>
      <c r="E392" s="1" t="s">
        <v>169</v>
      </c>
      <c r="F392" s="1" t="s">
        <v>170</v>
      </c>
      <c r="G392" s="1" t="s">
        <v>127</v>
      </c>
      <c r="H392" s="1" t="s">
        <v>128</v>
      </c>
      <c r="I392" s="31">
        <v>3</v>
      </c>
      <c r="J392" s="32">
        <v>24.99</v>
      </c>
      <c r="K392" s="32">
        <v>74.97</v>
      </c>
      <c r="L392" s="32">
        <v>45.36</v>
      </c>
      <c r="M392" s="32">
        <v>29.61</v>
      </c>
      <c r="N392" s="1" t="s">
        <v>77</v>
      </c>
      <c r="O392" s="1" t="s">
        <v>78</v>
      </c>
    </row>
    <row r="393" spans="1:15" ht="18.95" customHeight="1" x14ac:dyDescent="0.25">
      <c r="A393" s="1" t="s">
        <v>671</v>
      </c>
      <c r="B393" s="30">
        <v>45605.5</v>
      </c>
      <c r="C393" s="1" t="s">
        <v>235</v>
      </c>
      <c r="D393" s="1" t="s">
        <v>236</v>
      </c>
      <c r="E393" s="1" t="s">
        <v>237</v>
      </c>
      <c r="F393" s="1" t="s">
        <v>238</v>
      </c>
      <c r="G393" s="1" t="s">
        <v>110</v>
      </c>
      <c r="H393" s="1" t="s">
        <v>85</v>
      </c>
      <c r="I393" s="31">
        <v>1</v>
      </c>
      <c r="J393" s="32">
        <v>10.39</v>
      </c>
      <c r="K393" s="32">
        <v>10.39</v>
      </c>
      <c r="L393" s="32">
        <v>6.7</v>
      </c>
      <c r="M393" s="32">
        <v>3.69</v>
      </c>
      <c r="N393" s="1" t="s">
        <v>86</v>
      </c>
      <c r="O393" s="1" t="s">
        <v>118</v>
      </c>
    </row>
    <row r="394" spans="1:15" ht="18.95" customHeight="1" x14ac:dyDescent="0.25">
      <c r="A394" s="1" t="s">
        <v>672</v>
      </c>
      <c r="B394" s="30">
        <v>45607.5</v>
      </c>
      <c r="C394" s="1" t="s">
        <v>245</v>
      </c>
      <c r="D394" s="1" t="s">
        <v>246</v>
      </c>
      <c r="E394" s="1" t="s">
        <v>104</v>
      </c>
      <c r="F394" s="1" t="s">
        <v>105</v>
      </c>
      <c r="G394" s="1" t="s">
        <v>138</v>
      </c>
      <c r="H394" s="1" t="s">
        <v>99</v>
      </c>
      <c r="I394" s="31">
        <v>1</v>
      </c>
      <c r="J394" s="32">
        <v>34.99</v>
      </c>
      <c r="K394" s="32">
        <v>34.99</v>
      </c>
      <c r="L394" s="32">
        <v>22.74</v>
      </c>
      <c r="M394" s="32">
        <v>12.25</v>
      </c>
      <c r="N394" s="1" t="s">
        <v>86</v>
      </c>
      <c r="O394" s="1" t="s">
        <v>112</v>
      </c>
    </row>
    <row r="395" spans="1:15" ht="18.95" customHeight="1" x14ac:dyDescent="0.25">
      <c r="A395" s="1" t="s">
        <v>673</v>
      </c>
      <c r="B395" s="30">
        <v>45607.5</v>
      </c>
      <c r="C395" s="1" t="s">
        <v>402</v>
      </c>
      <c r="D395" s="1" t="s">
        <v>403</v>
      </c>
      <c r="E395" s="1" t="s">
        <v>104</v>
      </c>
      <c r="F395" s="1" t="s">
        <v>105</v>
      </c>
      <c r="G395" s="1" t="s">
        <v>155</v>
      </c>
      <c r="H395" s="1" t="s">
        <v>93</v>
      </c>
      <c r="I395" s="31">
        <v>2</v>
      </c>
      <c r="J395" s="32">
        <v>22.39</v>
      </c>
      <c r="K395" s="32">
        <v>44.78</v>
      </c>
      <c r="L395" s="32">
        <v>28.77</v>
      </c>
      <c r="M395" s="32">
        <v>16.010000000000002</v>
      </c>
      <c r="N395" s="1" t="s">
        <v>86</v>
      </c>
      <c r="O395" s="1" t="s">
        <v>112</v>
      </c>
    </row>
    <row r="396" spans="1:15" ht="18.95" customHeight="1" x14ac:dyDescent="0.25">
      <c r="A396" s="1" t="s">
        <v>674</v>
      </c>
      <c r="B396" s="30">
        <v>45609.5</v>
      </c>
      <c r="C396" s="1" t="s">
        <v>324</v>
      </c>
      <c r="D396" s="1" t="s">
        <v>325</v>
      </c>
      <c r="E396" s="1" t="s">
        <v>183</v>
      </c>
      <c r="F396" s="1" t="s">
        <v>137</v>
      </c>
      <c r="G396" s="1" t="s">
        <v>319</v>
      </c>
      <c r="H396" s="1" t="s">
        <v>128</v>
      </c>
      <c r="I396" s="31">
        <v>2</v>
      </c>
      <c r="J396" s="32">
        <v>54.99</v>
      </c>
      <c r="K396" s="32">
        <v>109.98</v>
      </c>
      <c r="L396" s="32">
        <v>74.790000000000006</v>
      </c>
      <c r="M396" s="32">
        <v>35.19</v>
      </c>
      <c r="N396" s="1" t="s">
        <v>117</v>
      </c>
      <c r="O396" s="1" t="s">
        <v>112</v>
      </c>
    </row>
    <row r="397" spans="1:15" ht="18.95" customHeight="1" x14ac:dyDescent="0.25">
      <c r="A397" s="1" t="s">
        <v>675</v>
      </c>
      <c r="B397" s="30">
        <v>45609.5</v>
      </c>
      <c r="C397" s="1" t="s">
        <v>560</v>
      </c>
      <c r="D397" s="1" t="s">
        <v>561</v>
      </c>
      <c r="E397" s="1" t="s">
        <v>74</v>
      </c>
      <c r="F397" s="1" t="s">
        <v>74</v>
      </c>
      <c r="G397" s="1" t="s">
        <v>106</v>
      </c>
      <c r="H397" s="1" t="s">
        <v>99</v>
      </c>
      <c r="I397" s="31">
        <v>1</v>
      </c>
      <c r="J397" s="32">
        <v>79.989999999999995</v>
      </c>
      <c r="K397" s="32">
        <v>79.989999999999995</v>
      </c>
      <c r="L397" s="32">
        <v>55.59</v>
      </c>
      <c r="M397" s="32">
        <v>24.4</v>
      </c>
      <c r="N397" s="1" t="s">
        <v>86</v>
      </c>
      <c r="O397" s="1" t="s">
        <v>78</v>
      </c>
    </row>
    <row r="398" spans="1:15" ht="18.95" customHeight="1" x14ac:dyDescent="0.25">
      <c r="A398" s="1" t="s">
        <v>675</v>
      </c>
      <c r="B398" s="30">
        <v>45609.5</v>
      </c>
      <c r="C398" s="1" t="s">
        <v>560</v>
      </c>
      <c r="D398" s="1" t="s">
        <v>561</v>
      </c>
      <c r="E398" s="1" t="s">
        <v>74</v>
      </c>
      <c r="F398" s="1" t="s">
        <v>74</v>
      </c>
      <c r="G398" s="1" t="s">
        <v>184</v>
      </c>
      <c r="H398" s="1" t="s">
        <v>99</v>
      </c>
      <c r="I398" s="31">
        <v>2</v>
      </c>
      <c r="J398" s="32">
        <v>169.99</v>
      </c>
      <c r="K398" s="32">
        <v>339.98</v>
      </c>
      <c r="L398" s="32">
        <v>273.68</v>
      </c>
      <c r="M398" s="32">
        <v>66.3</v>
      </c>
      <c r="N398" s="1" t="s">
        <v>86</v>
      </c>
      <c r="O398" s="1" t="s">
        <v>78</v>
      </c>
    </row>
    <row r="399" spans="1:15" ht="18.95" customHeight="1" x14ac:dyDescent="0.25">
      <c r="A399" s="1" t="s">
        <v>676</v>
      </c>
      <c r="B399" s="30">
        <v>45610.5</v>
      </c>
      <c r="C399" s="1" t="s">
        <v>677</v>
      </c>
      <c r="D399" s="1" t="s">
        <v>678</v>
      </c>
      <c r="E399" s="1" t="s">
        <v>74</v>
      </c>
      <c r="F399" s="1" t="s">
        <v>74</v>
      </c>
      <c r="G399" s="1" t="s">
        <v>319</v>
      </c>
      <c r="H399" s="1" t="s">
        <v>128</v>
      </c>
      <c r="I399" s="31">
        <v>1</v>
      </c>
      <c r="J399" s="32">
        <v>54.99</v>
      </c>
      <c r="K399" s="32">
        <v>54.99</v>
      </c>
      <c r="L399" s="32">
        <v>36.020000000000003</v>
      </c>
      <c r="M399" s="32">
        <v>18.97</v>
      </c>
      <c r="N399" s="1" t="s">
        <v>86</v>
      </c>
      <c r="O399" s="1" t="s">
        <v>78</v>
      </c>
    </row>
    <row r="400" spans="1:15" ht="18.95" customHeight="1" x14ac:dyDescent="0.25">
      <c r="A400" s="1" t="s">
        <v>679</v>
      </c>
      <c r="B400" s="30">
        <v>45611.5</v>
      </c>
      <c r="C400" s="1" t="s">
        <v>245</v>
      </c>
      <c r="D400" s="1" t="s">
        <v>246</v>
      </c>
      <c r="E400" s="1" t="s">
        <v>104</v>
      </c>
      <c r="F400" s="1" t="s">
        <v>105</v>
      </c>
      <c r="G400" s="1" t="s">
        <v>230</v>
      </c>
      <c r="H400" s="1" t="s">
        <v>128</v>
      </c>
      <c r="I400" s="31">
        <v>1</v>
      </c>
      <c r="J400" s="32">
        <v>44.99</v>
      </c>
      <c r="K400" s="32">
        <v>44.99</v>
      </c>
      <c r="L400" s="32">
        <v>28.57</v>
      </c>
      <c r="M400" s="32">
        <v>16.420000000000002</v>
      </c>
      <c r="N400" s="1" t="s">
        <v>117</v>
      </c>
      <c r="O400" s="1" t="s">
        <v>78</v>
      </c>
    </row>
    <row r="401" spans="1:15" ht="18.95" customHeight="1" x14ac:dyDescent="0.25">
      <c r="A401" s="1" t="s">
        <v>680</v>
      </c>
      <c r="B401" s="30">
        <v>45611.5</v>
      </c>
      <c r="C401" s="1" t="s">
        <v>438</v>
      </c>
      <c r="D401" s="1" t="s">
        <v>439</v>
      </c>
      <c r="E401" s="1" t="s">
        <v>169</v>
      </c>
      <c r="F401" s="1" t="s">
        <v>170</v>
      </c>
      <c r="G401" s="1" t="s">
        <v>132</v>
      </c>
      <c r="H401" s="1" t="s">
        <v>99</v>
      </c>
      <c r="I401" s="31">
        <v>3</v>
      </c>
      <c r="J401" s="32">
        <v>89.99</v>
      </c>
      <c r="K401" s="32">
        <v>269.97000000000003</v>
      </c>
      <c r="L401" s="32">
        <v>193.03</v>
      </c>
      <c r="M401" s="32">
        <v>76.94</v>
      </c>
      <c r="N401" s="1" t="s">
        <v>111</v>
      </c>
      <c r="O401" s="1" t="s">
        <v>78</v>
      </c>
    </row>
    <row r="402" spans="1:15" ht="18.95" customHeight="1" x14ac:dyDescent="0.25">
      <c r="A402" s="1" t="s">
        <v>681</v>
      </c>
      <c r="B402" s="30">
        <v>45611.5</v>
      </c>
      <c r="C402" s="1" t="s">
        <v>332</v>
      </c>
      <c r="D402" s="1" t="s">
        <v>333</v>
      </c>
      <c r="E402" s="1" t="s">
        <v>136</v>
      </c>
      <c r="F402" s="1" t="s">
        <v>137</v>
      </c>
      <c r="G402" s="1" t="s">
        <v>189</v>
      </c>
      <c r="H402" s="1" t="s">
        <v>93</v>
      </c>
      <c r="I402" s="31">
        <v>3</v>
      </c>
      <c r="J402" s="32">
        <v>44.99</v>
      </c>
      <c r="K402" s="32">
        <v>134.97</v>
      </c>
      <c r="L402" s="32">
        <v>80.31</v>
      </c>
      <c r="M402" s="32">
        <v>54.66</v>
      </c>
      <c r="N402" s="1" t="s">
        <v>86</v>
      </c>
      <c r="O402" s="1" t="s">
        <v>78</v>
      </c>
    </row>
    <row r="403" spans="1:15" ht="18.95" customHeight="1" x14ac:dyDescent="0.25">
      <c r="A403" s="1" t="s">
        <v>682</v>
      </c>
      <c r="B403" s="30">
        <v>45611.5</v>
      </c>
      <c r="C403" s="1" t="s">
        <v>683</v>
      </c>
      <c r="D403" s="1" t="s">
        <v>684</v>
      </c>
      <c r="E403" s="1" t="s">
        <v>74</v>
      </c>
      <c r="F403" s="1" t="s">
        <v>74</v>
      </c>
      <c r="G403" s="1" t="s">
        <v>207</v>
      </c>
      <c r="H403" s="1" t="s">
        <v>85</v>
      </c>
      <c r="I403" s="31">
        <v>3</v>
      </c>
      <c r="J403" s="32">
        <v>113.99</v>
      </c>
      <c r="K403" s="32">
        <v>341.97</v>
      </c>
      <c r="L403" s="32">
        <v>270.61</v>
      </c>
      <c r="M403" s="32">
        <v>71.36</v>
      </c>
      <c r="N403" s="1" t="s">
        <v>279</v>
      </c>
      <c r="O403" s="1" t="s">
        <v>233</v>
      </c>
    </row>
    <row r="404" spans="1:15" ht="18.95" customHeight="1" x14ac:dyDescent="0.25">
      <c r="A404" s="1" t="s">
        <v>685</v>
      </c>
      <c r="B404" s="30">
        <v>45612.5</v>
      </c>
      <c r="C404" s="1" t="s">
        <v>521</v>
      </c>
      <c r="D404" s="1" t="s">
        <v>522</v>
      </c>
      <c r="E404" s="1" t="s">
        <v>74</v>
      </c>
      <c r="F404" s="1" t="s">
        <v>74</v>
      </c>
      <c r="G404" s="1" t="s">
        <v>157</v>
      </c>
      <c r="H404" s="1" t="s">
        <v>93</v>
      </c>
      <c r="I404" s="31">
        <v>1</v>
      </c>
      <c r="J404" s="32">
        <v>17.989999999999998</v>
      </c>
      <c r="K404" s="32">
        <v>17.989999999999998</v>
      </c>
      <c r="L404" s="32">
        <v>9.7899999999999991</v>
      </c>
      <c r="M404" s="32">
        <v>8.1999999999999993</v>
      </c>
      <c r="N404" s="1" t="s">
        <v>117</v>
      </c>
      <c r="O404" s="1" t="s">
        <v>78</v>
      </c>
    </row>
    <row r="405" spans="1:15" ht="18.95" customHeight="1" x14ac:dyDescent="0.25">
      <c r="A405" s="1" t="s">
        <v>686</v>
      </c>
      <c r="B405" s="30">
        <v>45613.5</v>
      </c>
      <c r="C405" s="1" t="s">
        <v>687</v>
      </c>
      <c r="D405" s="1" t="s">
        <v>688</v>
      </c>
      <c r="E405" s="1" t="s">
        <v>174</v>
      </c>
      <c r="F405" s="1" t="s">
        <v>175</v>
      </c>
      <c r="G405" s="1" t="s">
        <v>293</v>
      </c>
      <c r="H405" s="1" t="s">
        <v>99</v>
      </c>
      <c r="I405" s="31">
        <v>1</v>
      </c>
      <c r="J405" s="32">
        <v>109.99</v>
      </c>
      <c r="K405" s="32">
        <v>109.99</v>
      </c>
      <c r="L405" s="32">
        <v>83.59</v>
      </c>
      <c r="M405" s="32">
        <v>26.4</v>
      </c>
      <c r="N405" s="1" t="s">
        <v>117</v>
      </c>
      <c r="O405" s="1" t="s">
        <v>112</v>
      </c>
    </row>
    <row r="406" spans="1:15" ht="18.95" customHeight="1" x14ac:dyDescent="0.25">
      <c r="A406" s="1" t="s">
        <v>686</v>
      </c>
      <c r="B406" s="30">
        <v>45613.5</v>
      </c>
      <c r="C406" s="1" t="s">
        <v>687</v>
      </c>
      <c r="D406" s="1" t="s">
        <v>688</v>
      </c>
      <c r="E406" s="1" t="s">
        <v>174</v>
      </c>
      <c r="F406" s="1" t="s">
        <v>175</v>
      </c>
      <c r="G406" s="1" t="s">
        <v>202</v>
      </c>
      <c r="H406" s="1" t="s">
        <v>85</v>
      </c>
      <c r="I406" s="31">
        <v>1</v>
      </c>
      <c r="J406" s="32">
        <v>7.99</v>
      </c>
      <c r="K406" s="32">
        <v>7.99</v>
      </c>
      <c r="L406" s="32">
        <v>4.47</v>
      </c>
      <c r="M406" s="32">
        <v>3.52</v>
      </c>
      <c r="N406" s="1" t="s">
        <v>117</v>
      </c>
      <c r="O406" s="1" t="s">
        <v>112</v>
      </c>
    </row>
    <row r="407" spans="1:15" ht="18.95" customHeight="1" x14ac:dyDescent="0.25">
      <c r="A407" s="1" t="s">
        <v>689</v>
      </c>
      <c r="B407" s="30">
        <v>45614.5</v>
      </c>
      <c r="C407" s="1" t="s">
        <v>95</v>
      </c>
      <c r="D407" s="1" t="s">
        <v>96</v>
      </c>
      <c r="E407" s="1" t="s">
        <v>97</v>
      </c>
      <c r="F407" s="1" t="s">
        <v>91</v>
      </c>
      <c r="G407" s="1" t="s">
        <v>226</v>
      </c>
      <c r="H407" s="1" t="s">
        <v>85</v>
      </c>
      <c r="I407" s="31">
        <v>2</v>
      </c>
      <c r="J407" s="32">
        <v>74.989999999999995</v>
      </c>
      <c r="K407" s="32">
        <v>149.97999999999999</v>
      </c>
      <c r="L407" s="32">
        <v>101.24</v>
      </c>
      <c r="M407" s="32">
        <v>48.74</v>
      </c>
      <c r="N407" s="1" t="s">
        <v>77</v>
      </c>
      <c r="O407" s="1" t="s">
        <v>78</v>
      </c>
    </row>
    <row r="408" spans="1:15" ht="18.95" customHeight="1" x14ac:dyDescent="0.25">
      <c r="A408" s="1" t="s">
        <v>689</v>
      </c>
      <c r="B408" s="30">
        <v>45614.5</v>
      </c>
      <c r="C408" s="1" t="s">
        <v>95</v>
      </c>
      <c r="D408" s="1" t="s">
        <v>96</v>
      </c>
      <c r="E408" s="1" t="s">
        <v>97</v>
      </c>
      <c r="F408" s="1" t="s">
        <v>91</v>
      </c>
      <c r="G408" s="1" t="s">
        <v>143</v>
      </c>
      <c r="H408" s="1" t="s">
        <v>128</v>
      </c>
      <c r="I408" s="31">
        <v>3</v>
      </c>
      <c r="J408" s="32">
        <v>94.99</v>
      </c>
      <c r="K408" s="32">
        <v>284.97000000000003</v>
      </c>
      <c r="L408" s="32">
        <v>220.85</v>
      </c>
      <c r="M408" s="32">
        <v>64.12</v>
      </c>
      <c r="N408" s="1" t="s">
        <v>77</v>
      </c>
      <c r="O408" s="1" t="s">
        <v>78</v>
      </c>
    </row>
    <row r="409" spans="1:15" ht="18.95" customHeight="1" x14ac:dyDescent="0.25">
      <c r="A409" s="1" t="s">
        <v>690</v>
      </c>
      <c r="B409" s="30">
        <v>45614.5</v>
      </c>
      <c r="C409" s="1" t="s">
        <v>691</v>
      </c>
      <c r="D409" s="1" t="s">
        <v>692</v>
      </c>
      <c r="E409" s="1" t="s">
        <v>183</v>
      </c>
      <c r="F409" s="1" t="s">
        <v>137</v>
      </c>
      <c r="G409" s="1" t="s">
        <v>319</v>
      </c>
      <c r="H409" s="1" t="s">
        <v>128</v>
      </c>
      <c r="I409" s="31">
        <v>2</v>
      </c>
      <c r="J409" s="32">
        <v>54.99</v>
      </c>
      <c r="K409" s="32">
        <v>109.98</v>
      </c>
      <c r="L409" s="32">
        <v>73.14</v>
      </c>
      <c r="M409" s="32">
        <v>36.840000000000003</v>
      </c>
      <c r="N409" s="1" t="s">
        <v>279</v>
      </c>
      <c r="O409" s="1" t="s">
        <v>233</v>
      </c>
    </row>
    <row r="410" spans="1:15" ht="18.95" customHeight="1" x14ac:dyDescent="0.25">
      <c r="A410" s="1" t="s">
        <v>693</v>
      </c>
      <c r="B410" s="30">
        <v>45616.5</v>
      </c>
      <c r="C410" s="1" t="s">
        <v>694</v>
      </c>
      <c r="D410" s="1" t="s">
        <v>695</v>
      </c>
      <c r="E410" s="1" t="s">
        <v>150</v>
      </c>
      <c r="F410" s="1" t="s">
        <v>105</v>
      </c>
      <c r="G410" s="1" t="s">
        <v>230</v>
      </c>
      <c r="H410" s="1" t="s">
        <v>128</v>
      </c>
      <c r="I410" s="31">
        <v>2</v>
      </c>
      <c r="J410" s="32">
        <v>44.99</v>
      </c>
      <c r="K410" s="32">
        <v>89.98</v>
      </c>
      <c r="L410" s="32">
        <v>57.14</v>
      </c>
      <c r="M410" s="32">
        <v>32.840000000000003</v>
      </c>
      <c r="N410" s="1" t="s">
        <v>117</v>
      </c>
      <c r="O410" s="1" t="s">
        <v>78</v>
      </c>
    </row>
    <row r="411" spans="1:15" ht="18.95" customHeight="1" x14ac:dyDescent="0.25">
      <c r="A411" s="1" t="s">
        <v>696</v>
      </c>
      <c r="B411" s="30">
        <v>45617.5</v>
      </c>
      <c r="C411" s="1" t="s">
        <v>484</v>
      </c>
      <c r="D411" s="1" t="s">
        <v>485</v>
      </c>
      <c r="E411" s="1" t="s">
        <v>174</v>
      </c>
      <c r="F411" s="1" t="s">
        <v>175</v>
      </c>
      <c r="G411" s="1" t="s">
        <v>92</v>
      </c>
      <c r="H411" s="1" t="s">
        <v>93</v>
      </c>
      <c r="I411" s="31">
        <v>2</v>
      </c>
      <c r="J411" s="32">
        <v>66.489999999999995</v>
      </c>
      <c r="K411" s="32">
        <v>132.97999999999999</v>
      </c>
      <c r="L411" s="32">
        <v>92.7</v>
      </c>
      <c r="M411" s="32">
        <v>40.28</v>
      </c>
      <c r="N411" s="1" t="s">
        <v>86</v>
      </c>
      <c r="O411" s="1" t="s">
        <v>78</v>
      </c>
    </row>
    <row r="412" spans="1:15" ht="18.95" customHeight="1" x14ac:dyDescent="0.25">
      <c r="A412" s="1" t="s">
        <v>697</v>
      </c>
      <c r="B412" s="30">
        <v>45618.5</v>
      </c>
      <c r="C412" s="1" t="s">
        <v>167</v>
      </c>
      <c r="D412" s="1" t="s">
        <v>168</v>
      </c>
      <c r="E412" s="1" t="s">
        <v>169</v>
      </c>
      <c r="F412" s="1" t="s">
        <v>170</v>
      </c>
      <c r="G412" s="1" t="s">
        <v>226</v>
      </c>
      <c r="H412" s="1" t="s">
        <v>85</v>
      </c>
      <c r="I412" s="31">
        <v>1</v>
      </c>
      <c r="J412" s="32">
        <v>74.989999999999995</v>
      </c>
      <c r="K412" s="32">
        <v>74.989999999999995</v>
      </c>
      <c r="L412" s="32">
        <v>50.62</v>
      </c>
      <c r="M412" s="32">
        <v>24.37</v>
      </c>
      <c r="N412" s="1" t="s">
        <v>77</v>
      </c>
      <c r="O412" s="1" t="s">
        <v>78</v>
      </c>
    </row>
    <row r="413" spans="1:15" ht="18.95" customHeight="1" x14ac:dyDescent="0.25">
      <c r="A413" s="1" t="s">
        <v>698</v>
      </c>
      <c r="B413" s="30">
        <v>45619.5</v>
      </c>
      <c r="C413" s="1" t="s">
        <v>245</v>
      </c>
      <c r="D413" s="1" t="s">
        <v>246</v>
      </c>
      <c r="E413" s="1" t="s">
        <v>104</v>
      </c>
      <c r="F413" s="1" t="s">
        <v>105</v>
      </c>
      <c r="G413" s="1" t="s">
        <v>155</v>
      </c>
      <c r="H413" s="1" t="s">
        <v>93</v>
      </c>
      <c r="I413" s="31">
        <v>2</v>
      </c>
      <c r="J413" s="32">
        <v>27.99</v>
      </c>
      <c r="K413" s="32">
        <v>55.98</v>
      </c>
      <c r="L413" s="32">
        <v>28.27</v>
      </c>
      <c r="M413" s="32">
        <v>27.71</v>
      </c>
      <c r="N413" s="1" t="s">
        <v>77</v>
      </c>
      <c r="O413" s="1" t="s">
        <v>78</v>
      </c>
    </row>
    <row r="414" spans="1:15" ht="18.95" customHeight="1" x14ac:dyDescent="0.25">
      <c r="A414" s="1" t="s">
        <v>699</v>
      </c>
      <c r="B414" s="30">
        <v>45619.5</v>
      </c>
      <c r="C414" s="1" t="s">
        <v>700</v>
      </c>
      <c r="D414" s="1" t="s">
        <v>701</v>
      </c>
      <c r="E414" s="1" t="s">
        <v>125</v>
      </c>
      <c r="F414" s="1" t="s">
        <v>126</v>
      </c>
      <c r="G414" s="1" t="s">
        <v>207</v>
      </c>
      <c r="H414" s="1" t="s">
        <v>85</v>
      </c>
      <c r="I414" s="31">
        <v>3</v>
      </c>
      <c r="J414" s="32">
        <v>113.99</v>
      </c>
      <c r="K414" s="32">
        <v>341.97</v>
      </c>
      <c r="L414" s="32">
        <v>289.42</v>
      </c>
      <c r="M414" s="32">
        <v>52.55</v>
      </c>
      <c r="N414" s="1" t="s">
        <v>86</v>
      </c>
      <c r="O414" s="1" t="s">
        <v>118</v>
      </c>
    </row>
    <row r="415" spans="1:15" ht="18.95" customHeight="1" x14ac:dyDescent="0.25">
      <c r="A415" s="1" t="s">
        <v>702</v>
      </c>
      <c r="B415" s="30">
        <v>45619.5</v>
      </c>
      <c r="C415" s="1" t="s">
        <v>536</v>
      </c>
      <c r="D415" s="1" t="s">
        <v>537</v>
      </c>
      <c r="E415" s="1" t="s">
        <v>136</v>
      </c>
      <c r="F415" s="1" t="s">
        <v>137</v>
      </c>
      <c r="G415" s="1" t="s">
        <v>202</v>
      </c>
      <c r="H415" s="1" t="s">
        <v>85</v>
      </c>
      <c r="I415" s="31">
        <v>2</v>
      </c>
      <c r="J415" s="32">
        <v>7.99</v>
      </c>
      <c r="K415" s="32">
        <v>15.98</v>
      </c>
      <c r="L415" s="32">
        <v>9.59</v>
      </c>
      <c r="M415" s="32">
        <v>6.39</v>
      </c>
      <c r="N415" s="1" t="s">
        <v>77</v>
      </c>
      <c r="O415" s="1" t="s">
        <v>118</v>
      </c>
    </row>
    <row r="416" spans="1:15" ht="18.95" customHeight="1" x14ac:dyDescent="0.25">
      <c r="A416" s="1" t="s">
        <v>703</v>
      </c>
      <c r="B416" s="30">
        <v>45620.5</v>
      </c>
      <c r="C416" s="1" t="s">
        <v>186</v>
      </c>
      <c r="D416" s="1" t="s">
        <v>187</v>
      </c>
      <c r="E416" s="1" t="s">
        <v>169</v>
      </c>
      <c r="F416" s="1" t="s">
        <v>170</v>
      </c>
      <c r="G416" s="1" t="s">
        <v>110</v>
      </c>
      <c r="H416" s="1" t="s">
        <v>85</v>
      </c>
      <c r="I416" s="31">
        <v>1</v>
      </c>
      <c r="J416" s="32">
        <v>12.99</v>
      </c>
      <c r="K416" s="32">
        <v>12.99</v>
      </c>
      <c r="L416" s="32">
        <v>6.5</v>
      </c>
      <c r="M416" s="32">
        <v>6.49</v>
      </c>
      <c r="N416" s="1" t="s">
        <v>86</v>
      </c>
      <c r="O416" s="1" t="s">
        <v>112</v>
      </c>
    </row>
    <row r="417" spans="1:15" ht="18.95" customHeight="1" x14ac:dyDescent="0.25">
      <c r="A417" s="1" t="s">
        <v>704</v>
      </c>
      <c r="B417" s="30">
        <v>45620.5</v>
      </c>
      <c r="C417" s="1" t="s">
        <v>492</v>
      </c>
      <c r="D417" s="1" t="s">
        <v>493</v>
      </c>
      <c r="E417" s="1" t="s">
        <v>212</v>
      </c>
      <c r="F417" s="1" t="s">
        <v>83</v>
      </c>
      <c r="G417" s="1" t="s">
        <v>230</v>
      </c>
      <c r="H417" s="1" t="s">
        <v>128</v>
      </c>
      <c r="I417" s="31">
        <v>2</v>
      </c>
      <c r="J417" s="32">
        <v>44.99</v>
      </c>
      <c r="K417" s="32">
        <v>89.98</v>
      </c>
      <c r="L417" s="32">
        <v>59.39</v>
      </c>
      <c r="M417" s="32">
        <v>30.59</v>
      </c>
      <c r="N417" s="1" t="s">
        <v>315</v>
      </c>
      <c r="O417" s="1" t="s">
        <v>112</v>
      </c>
    </row>
    <row r="418" spans="1:15" ht="18.95" customHeight="1" x14ac:dyDescent="0.25">
      <c r="A418" s="1" t="s">
        <v>705</v>
      </c>
      <c r="B418" s="30">
        <v>45621.5</v>
      </c>
      <c r="C418" s="1" t="s">
        <v>484</v>
      </c>
      <c r="D418" s="1" t="s">
        <v>485</v>
      </c>
      <c r="E418" s="1" t="s">
        <v>174</v>
      </c>
      <c r="F418" s="1" t="s">
        <v>175</v>
      </c>
      <c r="G418" s="1" t="s">
        <v>127</v>
      </c>
      <c r="H418" s="1" t="s">
        <v>128</v>
      </c>
      <c r="I418" s="31">
        <v>1</v>
      </c>
      <c r="J418" s="32">
        <v>24.99</v>
      </c>
      <c r="K418" s="32">
        <v>24.99</v>
      </c>
      <c r="L418" s="32">
        <v>15.74</v>
      </c>
      <c r="M418" s="32">
        <v>9.25</v>
      </c>
      <c r="N418" s="1" t="s">
        <v>117</v>
      </c>
      <c r="O418" s="1" t="s">
        <v>112</v>
      </c>
    </row>
    <row r="419" spans="1:15" ht="18.95" customHeight="1" x14ac:dyDescent="0.25">
      <c r="A419" s="1" t="s">
        <v>706</v>
      </c>
      <c r="B419" s="30">
        <v>45623.5</v>
      </c>
      <c r="C419" s="1" t="s">
        <v>186</v>
      </c>
      <c r="D419" s="1" t="s">
        <v>187</v>
      </c>
      <c r="E419" s="1" t="s">
        <v>169</v>
      </c>
      <c r="F419" s="1" t="s">
        <v>170</v>
      </c>
      <c r="G419" s="1" t="s">
        <v>110</v>
      </c>
      <c r="H419" s="1" t="s">
        <v>85</v>
      </c>
      <c r="I419" s="31">
        <v>2</v>
      </c>
      <c r="J419" s="32">
        <v>12.99</v>
      </c>
      <c r="K419" s="32">
        <v>25.98</v>
      </c>
      <c r="L419" s="32">
        <v>14.03</v>
      </c>
      <c r="M419" s="32">
        <v>11.95</v>
      </c>
      <c r="N419" s="1" t="s">
        <v>117</v>
      </c>
      <c r="O419" s="1" t="s">
        <v>118</v>
      </c>
    </row>
    <row r="420" spans="1:15" ht="18.95" customHeight="1" x14ac:dyDescent="0.25">
      <c r="A420" s="1" t="s">
        <v>707</v>
      </c>
      <c r="B420" s="30">
        <v>45624.5</v>
      </c>
      <c r="C420" s="1" t="s">
        <v>687</v>
      </c>
      <c r="D420" s="1" t="s">
        <v>688</v>
      </c>
      <c r="E420" s="1" t="s">
        <v>174</v>
      </c>
      <c r="F420" s="1" t="s">
        <v>175</v>
      </c>
      <c r="G420" s="1" t="s">
        <v>157</v>
      </c>
      <c r="H420" s="1" t="s">
        <v>93</v>
      </c>
      <c r="I420" s="31">
        <v>1</v>
      </c>
      <c r="J420" s="32">
        <v>17.989999999999998</v>
      </c>
      <c r="K420" s="32">
        <v>17.989999999999998</v>
      </c>
      <c r="L420" s="32">
        <v>10.23</v>
      </c>
      <c r="M420" s="32">
        <v>7.76</v>
      </c>
      <c r="N420" s="1" t="s">
        <v>86</v>
      </c>
      <c r="O420" s="1" t="s">
        <v>112</v>
      </c>
    </row>
    <row r="421" spans="1:15" ht="18.95" customHeight="1" x14ac:dyDescent="0.25">
      <c r="A421" s="1" t="s">
        <v>708</v>
      </c>
      <c r="B421" s="30">
        <v>45625.5</v>
      </c>
      <c r="C421" s="1" t="s">
        <v>536</v>
      </c>
      <c r="D421" s="1" t="s">
        <v>537</v>
      </c>
      <c r="E421" s="1" t="s">
        <v>136</v>
      </c>
      <c r="F421" s="1" t="s">
        <v>137</v>
      </c>
      <c r="G421" s="1" t="s">
        <v>226</v>
      </c>
      <c r="H421" s="1" t="s">
        <v>85</v>
      </c>
      <c r="I421" s="31">
        <v>1</v>
      </c>
      <c r="J421" s="32">
        <v>67.489999999999995</v>
      </c>
      <c r="K421" s="32">
        <v>67.489999999999995</v>
      </c>
      <c r="L421" s="32">
        <v>50.21</v>
      </c>
      <c r="M421" s="32">
        <v>17.28</v>
      </c>
      <c r="N421" s="1" t="s">
        <v>117</v>
      </c>
      <c r="O421" s="1" t="s">
        <v>78</v>
      </c>
    </row>
    <row r="422" spans="1:15" ht="18.95" customHeight="1" x14ac:dyDescent="0.25">
      <c r="A422" s="1" t="s">
        <v>708</v>
      </c>
      <c r="B422" s="30">
        <v>45625.5</v>
      </c>
      <c r="C422" s="1" t="s">
        <v>536</v>
      </c>
      <c r="D422" s="1" t="s">
        <v>537</v>
      </c>
      <c r="E422" s="1" t="s">
        <v>136</v>
      </c>
      <c r="F422" s="1" t="s">
        <v>137</v>
      </c>
      <c r="G422" s="1" t="s">
        <v>306</v>
      </c>
      <c r="H422" s="1" t="s">
        <v>76</v>
      </c>
      <c r="I422" s="31">
        <v>1</v>
      </c>
      <c r="J422" s="32">
        <v>24.99</v>
      </c>
      <c r="K422" s="32">
        <v>24.99</v>
      </c>
      <c r="L422" s="32">
        <v>12.87</v>
      </c>
      <c r="M422" s="32">
        <v>12.12</v>
      </c>
      <c r="N422" s="1" t="s">
        <v>117</v>
      </c>
      <c r="O422" s="1" t="s">
        <v>78</v>
      </c>
    </row>
    <row r="423" spans="1:15" ht="18.95" customHeight="1" x14ac:dyDescent="0.25">
      <c r="A423" s="1" t="s">
        <v>709</v>
      </c>
      <c r="B423" s="30">
        <v>45626.5</v>
      </c>
      <c r="C423" s="1" t="s">
        <v>162</v>
      </c>
      <c r="D423" s="1" t="s">
        <v>163</v>
      </c>
      <c r="E423" s="1" t="s">
        <v>164</v>
      </c>
      <c r="F423" s="1" t="s">
        <v>165</v>
      </c>
      <c r="G423" s="1" t="s">
        <v>322</v>
      </c>
      <c r="H423" s="1" t="s">
        <v>128</v>
      </c>
      <c r="I423" s="31">
        <v>3</v>
      </c>
      <c r="J423" s="32">
        <v>56.99</v>
      </c>
      <c r="K423" s="32">
        <v>170.97</v>
      </c>
      <c r="L423" s="32">
        <v>124.49</v>
      </c>
      <c r="M423" s="32">
        <v>46.48</v>
      </c>
      <c r="N423" s="1" t="s">
        <v>117</v>
      </c>
      <c r="O423" s="1" t="s">
        <v>233</v>
      </c>
    </row>
    <row r="424" spans="1:15" ht="18.95" customHeight="1" x14ac:dyDescent="0.25">
      <c r="A424" s="1" t="s">
        <v>710</v>
      </c>
      <c r="B424" s="30">
        <v>45626.5</v>
      </c>
      <c r="C424" s="1" t="s">
        <v>711</v>
      </c>
      <c r="D424" s="1" t="s">
        <v>712</v>
      </c>
      <c r="E424" s="1" t="s">
        <v>183</v>
      </c>
      <c r="F424" s="1" t="s">
        <v>137</v>
      </c>
      <c r="G424" s="1" t="s">
        <v>189</v>
      </c>
      <c r="H424" s="1" t="s">
        <v>93</v>
      </c>
      <c r="I424" s="31">
        <v>1</v>
      </c>
      <c r="J424" s="32">
        <v>42.74</v>
      </c>
      <c r="K424" s="32">
        <v>42.74</v>
      </c>
      <c r="L424" s="32">
        <v>26.65</v>
      </c>
      <c r="M424" s="32">
        <v>16.09</v>
      </c>
      <c r="N424" s="1" t="s">
        <v>77</v>
      </c>
      <c r="O424" s="1" t="s">
        <v>78</v>
      </c>
    </row>
    <row r="425" spans="1:15" ht="18.95" customHeight="1" x14ac:dyDescent="0.25">
      <c r="A425" s="1" t="s">
        <v>713</v>
      </c>
      <c r="B425" s="30">
        <v>45627.5</v>
      </c>
      <c r="C425" s="1" t="s">
        <v>162</v>
      </c>
      <c r="D425" s="1" t="s">
        <v>163</v>
      </c>
      <c r="E425" s="1" t="s">
        <v>164</v>
      </c>
      <c r="F425" s="1" t="s">
        <v>165</v>
      </c>
      <c r="G425" s="1" t="s">
        <v>116</v>
      </c>
      <c r="H425" s="1" t="s">
        <v>76</v>
      </c>
      <c r="I425" s="31">
        <v>2</v>
      </c>
      <c r="J425" s="32">
        <v>14.99</v>
      </c>
      <c r="K425" s="32">
        <v>29.98</v>
      </c>
      <c r="L425" s="32">
        <v>13.64</v>
      </c>
      <c r="M425" s="32">
        <v>16.34</v>
      </c>
      <c r="N425" s="1" t="s">
        <v>77</v>
      </c>
      <c r="O425" s="1" t="s">
        <v>78</v>
      </c>
    </row>
    <row r="426" spans="1:15" ht="18.95" customHeight="1" x14ac:dyDescent="0.25">
      <c r="A426" s="1" t="s">
        <v>714</v>
      </c>
      <c r="B426" s="30">
        <v>45627.5</v>
      </c>
      <c r="C426" s="1" t="s">
        <v>167</v>
      </c>
      <c r="D426" s="1" t="s">
        <v>168</v>
      </c>
      <c r="E426" s="1" t="s">
        <v>169</v>
      </c>
      <c r="F426" s="1" t="s">
        <v>170</v>
      </c>
      <c r="G426" s="1" t="s">
        <v>151</v>
      </c>
      <c r="H426" s="1" t="s">
        <v>76</v>
      </c>
      <c r="I426" s="31">
        <v>1</v>
      </c>
      <c r="J426" s="32">
        <v>18.989999999999998</v>
      </c>
      <c r="K426" s="32">
        <v>18.989999999999998</v>
      </c>
      <c r="L426" s="32">
        <v>9.2100000000000009</v>
      </c>
      <c r="M426" s="32">
        <v>9.7799999999999994</v>
      </c>
      <c r="N426" s="1" t="s">
        <v>77</v>
      </c>
      <c r="O426" s="1" t="s">
        <v>78</v>
      </c>
    </row>
    <row r="427" spans="1:15" ht="18.95" customHeight="1" x14ac:dyDescent="0.25">
      <c r="A427" s="1" t="s">
        <v>714</v>
      </c>
      <c r="B427" s="30">
        <v>45627.5</v>
      </c>
      <c r="C427" s="1" t="s">
        <v>167</v>
      </c>
      <c r="D427" s="1" t="s">
        <v>168</v>
      </c>
      <c r="E427" s="1" t="s">
        <v>169</v>
      </c>
      <c r="F427" s="1" t="s">
        <v>170</v>
      </c>
      <c r="G427" s="1" t="s">
        <v>179</v>
      </c>
      <c r="H427" s="1" t="s">
        <v>128</v>
      </c>
      <c r="I427" s="31">
        <v>2</v>
      </c>
      <c r="J427" s="32">
        <v>33.99</v>
      </c>
      <c r="K427" s="32">
        <v>67.98</v>
      </c>
      <c r="L427" s="32">
        <v>45.33</v>
      </c>
      <c r="M427" s="32">
        <v>22.65</v>
      </c>
      <c r="N427" s="1" t="s">
        <v>77</v>
      </c>
      <c r="O427" s="1" t="s">
        <v>78</v>
      </c>
    </row>
    <row r="428" spans="1:15" ht="18.95" customHeight="1" x14ac:dyDescent="0.25">
      <c r="A428" s="1" t="s">
        <v>715</v>
      </c>
      <c r="B428" s="30">
        <v>45631.5</v>
      </c>
      <c r="C428" s="1" t="s">
        <v>365</v>
      </c>
      <c r="D428" s="1" t="s">
        <v>366</v>
      </c>
      <c r="E428" s="1" t="s">
        <v>330</v>
      </c>
      <c r="F428" s="1" t="s">
        <v>238</v>
      </c>
      <c r="G428" s="1" t="s">
        <v>98</v>
      </c>
      <c r="H428" s="1" t="s">
        <v>99</v>
      </c>
      <c r="I428" s="31">
        <v>1</v>
      </c>
      <c r="J428" s="32">
        <v>26.99</v>
      </c>
      <c r="K428" s="32">
        <v>26.99</v>
      </c>
      <c r="L428" s="32">
        <v>16.18</v>
      </c>
      <c r="M428" s="32">
        <v>10.81</v>
      </c>
      <c r="N428" s="1" t="s">
        <v>77</v>
      </c>
      <c r="O428" s="1" t="s">
        <v>78</v>
      </c>
    </row>
    <row r="429" spans="1:15" ht="18.95" customHeight="1" x14ac:dyDescent="0.25">
      <c r="A429" s="1" t="s">
        <v>716</v>
      </c>
      <c r="B429" s="30">
        <v>45633.5</v>
      </c>
      <c r="C429" s="1" t="s">
        <v>162</v>
      </c>
      <c r="D429" s="1" t="s">
        <v>163</v>
      </c>
      <c r="E429" s="1" t="s">
        <v>164</v>
      </c>
      <c r="F429" s="1" t="s">
        <v>165</v>
      </c>
      <c r="G429" s="1" t="s">
        <v>195</v>
      </c>
      <c r="H429" s="1" t="s">
        <v>128</v>
      </c>
      <c r="I429" s="31">
        <v>1</v>
      </c>
      <c r="J429" s="32">
        <v>132.99</v>
      </c>
      <c r="K429" s="32">
        <v>132.99</v>
      </c>
      <c r="L429" s="32">
        <v>110.03</v>
      </c>
      <c r="M429" s="32">
        <v>22.96</v>
      </c>
      <c r="N429" s="1" t="s">
        <v>86</v>
      </c>
      <c r="O429" s="1" t="s">
        <v>112</v>
      </c>
    </row>
    <row r="430" spans="1:15" ht="18.95" customHeight="1" x14ac:dyDescent="0.25">
      <c r="A430" s="1" t="s">
        <v>717</v>
      </c>
      <c r="B430" s="30">
        <v>45634.5</v>
      </c>
      <c r="C430" s="1" t="s">
        <v>718</v>
      </c>
      <c r="D430" s="1" t="s">
        <v>719</v>
      </c>
      <c r="E430" s="1" t="s">
        <v>174</v>
      </c>
      <c r="F430" s="1" t="s">
        <v>175</v>
      </c>
      <c r="G430" s="1" t="s">
        <v>139</v>
      </c>
      <c r="H430" s="1" t="s">
        <v>128</v>
      </c>
      <c r="I430" s="31">
        <v>1</v>
      </c>
      <c r="J430" s="32">
        <v>69.989999999999995</v>
      </c>
      <c r="K430" s="32">
        <v>69.989999999999995</v>
      </c>
      <c r="L430" s="32">
        <v>51.09</v>
      </c>
      <c r="M430" s="32">
        <v>18.899999999999999</v>
      </c>
      <c r="N430" s="1" t="s">
        <v>86</v>
      </c>
      <c r="O430" s="1" t="s">
        <v>118</v>
      </c>
    </row>
    <row r="431" spans="1:15" ht="18.95" customHeight="1" x14ac:dyDescent="0.25">
      <c r="A431" s="1" t="s">
        <v>720</v>
      </c>
      <c r="B431" s="30">
        <v>45635.5</v>
      </c>
      <c r="C431" s="1" t="s">
        <v>134</v>
      </c>
      <c r="D431" s="1" t="s">
        <v>135</v>
      </c>
      <c r="E431" s="1" t="s">
        <v>136</v>
      </c>
      <c r="F431" s="1" t="s">
        <v>137</v>
      </c>
      <c r="G431" s="1" t="s">
        <v>138</v>
      </c>
      <c r="H431" s="1" t="s">
        <v>99</v>
      </c>
      <c r="I431" s="31">
        <v>4</v>
      </c>
      <c r="J431" s="32">
        <v>31.49</v>
      </c>
      <c r="K431" s="32">
        <v>125.96</v>
      </c>
      <c r="L431" s="32">
        <v>86.71</v>
      </c>
      <c r="M431" s="32">
        <v>39.25</v>
      </c>
      <c r="N431" s="1" t="s">
        <v>77</v>
      </c>
      <c r="O431" s="1" t="s">
        <v>78</v>
      </c>
    </row>
    <row r="432" spans="1:15" ht="18.95" customHeight="1" x14ac:dyDescent="0.25">
      <c r="A432" s="1" t="s">
        <v>721</v>
      </c>
      <c r="B432" s="30">
        <v>45635.5</v>
      </c>
      <c r="C432" s="1" t="s">
        <v>235</v>
      </c>
      <c r="D432" s="1" t="s">
        <v>236</v>
      </c>
      <c r="E432" s="1" t="s">
        <v>237</v>
      </c>
      <c r="F432" s="1" t="s">
        <v>238</v>
      </c>
      <c r="G432" s="1" t="s">
        <v>157</v>
      </c>
      <c r="H432" s="1" t="s">
        <v>93</v>
      </c>
      <c r="I432" s="31">
        <v>1</v>
      </c>
      <c r="J432" s="32">
        <v>18.989999999999998</v>
      </c>
      <c r="K432" s="32">
        <v>18.989999999999998</v>
      </c>
      <c r="L432" s="32">
        <v>11.07</v>
      </c>
      <c r="M432" s="32">
        <v>7.92</v>
      </c>
      <c r="N432" s="1" t="s">
        <v>117</v>
      </c>
      <c r="O432" s="1" t="s">
        <v>118</v>
      </c>
    </row>
    <row r="433" spans="1:15" ht="18.95" customHeight="1" x14ac:dyDescent="0.25">
      <c r="A433" s="1" t="s">
        <v>721</v>
      </c>
      <c r="B433" s="30">
        <v>45635.5</v>
      </c>
      <c r="C433" s="1" t="s">
        <v>235</v>
      </c>
      <c r="D433" s="1" t="s">
        <v>236</v>
      </c>
      <c r="E433" s="1" t="s">
        <v>237</v>
      </c>
      <c r="F433" s="1" t="s">
        <v>238</v>
      </c>
      <c r="G433" s="1" t="s">
        <v>98</v>
      </c>
      <c r="H433" s="1" t="s">
        <v>99</v>
      </c>
      <c r="I433" s="31">
        <v>1</v>
      </c>
      <c r="J433" s="32">
        <v>28.49</v>
      </c>
      <c r="K433" s="32">
        <v>28.49</v>
      </c>
      <c r="L433" s="32">
        <v>18.11</v>
      </c>
      <c r="M433" s="32">
        <v>10.38</v>
      </c>
      <c r="N433" s="1" t="s">
        <v>117</v>
      </c>
      <c r="O433" s="1" t="s">
        <v>118</v>
      </c>
    </row>
    <row r="434" spans="1:15" ht="18.95" customHeight="1" x14ac:dyDescent="0.25">
      <c r="A434" s="1" t="s">
        <v>722</v>
      </c>
      <c r="B434" s="30">
        <v>45636.5</v>
      </c>
      <c r="C434" s="1" t="s">
        <v>276</v>
      </c>
      <c r="D434" s="1" t="s">
        <v>277</v>
      </c>
      <c r="E434" s="1" t="s">
        <v>74</v>
      </c>
      <c r="F434" s="1" t="s">
        <v>74</v>
      </c>
      <c r="G434" s="1" t="s">
        <v>207</v>
      </c>
      <c r="H434" s="1" t="s">
        <v>85</v>
      </c>
      <c r="I434" s="31">
        <v>1</v>
      </c>
      <c r="J434" s="32">
        <v>119.99</v>
      </c>
      <c r="K434" s="32">
        <v>119.99</v>
      </c>
      <c r="L434" s="32">
        <v>97.19</v>
      </c>
      <c r="M434" s="32">
        <v>22.8</v>
      </c>
      <c r="N434" s="1" t="s">
        <v>117</v>
      </c>
      <c r="O434" s="1" t="s">
        <v>118</v>
      </c>
    </row>
    <row r="435" spans="1:15" ht="18.95" customHeight="1" x14ac:dyDescent="0.25">
      <c r="A435" s="1" t="s">
        <v>722</v>
      </c>
      <c r="B435" s="30">
        <v>45636.5</v>
      </c>
      <c r="C435" s="1" t="s">
        <v>276</v>
      </c>
      <c r="D435" s="1" t="s">
        <v>277</v>
      </c>
      <c r="E435" s="1" t="s">
        <v>74</v>
      </c>
      <c r="F435" s="1" t="s">
        <v>74</v>
      </c>
      <c r="G435" s="1" t="s">
        <v>151</v>
      </c>
      <c r="H435" s="1" t="s">
        <v>76</v>
      </c>
      <c r="I435" s="31">
        <v>2</v>
      </c>
      <c r="J435" s="32">
        <v>17.09</v>
      </c>
      <c r="K435" s="32">
        <v>34.18</v>
      </c>
      <c r="L435" s="32">
        <v>20.43</v>
      </c>
      <c r="M435" s="32">
        <v>13.75</v>
      </c>
      <c r="N435" s="1" t="s">
        <v>117</v>
      </c>
      <c r="O435" s="1" t="s">
        <v>118</v>
      </c>
    </row>
    <row r="436" spans="1:15" ht="18.95" customHeight="1" x14ac:dyDescent="0.25">
      <c r="A436" s="1" t="s">
        <v>723</v>
      </c>
      <c r="B436" s="30">
        <v>45637.5</v>
      </c>
      <c r="C436" s="1" t="s">
        <v>254</v>
      </c>
      <c r="D436" s="1" t="s">
        <v>255</v>
      </c>
      <c r="E436" s="1" t="s">
        <v>90</v>
      </c>
      <c r="F436" s="1" t="s">
        <v>91</v>
      </c>
      <c r="G436" s="1" t="s">
        <v>151</v>
      </c>
      <c r="H436" s="1" t="s">
        <v>76</v>
      </c>
      <c r="I436" s="31">
        <v>2</v>
      </c>
      <c r="J436" s="32">
        <v>18.989999999999998</v>
      </c>
      <c r="K436" s="32">
        <v>37.979999999999997</v>
      </c>
      <c r="L436" s="32">
        <v>19.37</v>
      </c>
      <c r="M436" s="32">
        <v>18.61</v>
      </c>
      <c r="N436" s="1" t="s">
        <v>315</v>
      </c>
      <c r="O436" s="1" t="s">
        <v>112</v>
      </c>
    </row>
    <row r="437" spans="1:15" ht="18.95" customHeight="1" x14ac:dyDescent="0.25">
      <c r="A437" s="1" t="s">
        <v>723</v>
      </c>
      <c r="B437" s="30">
        <v>45637.5</v>
      </c>
      <c r="C437" s="1" t="s">
        <v>254</v>
      </c>
      <c r="D437" s="1" t="s">
        <v>255</v>
      </c>
      <c r="E437" s="1" t="s">
        <v>90</v>
      </c>
      <c r="F437" s="1" t="s">
        <v>91</v>
      </c>
      <c r="G437" s="1" t="s">
        <v>75</v>
      </c>
      <c r="H437" s="1" t="s">
        <v>76</v>
      </c>
      <c r="I437" s="31">
        <v>1</v>
      </c>
      <c r="J437" s="32">
        <v>26.99</v>
      </c>
      <c r="K437" s="32">
        <v>26.99</v>
      </c>
      <c r="L437" s="32">
        <v>15.11</v>
      </c>
      <c r="M437" s="32">
        <v>11.88</v>
      </c>
      <c r="N437" s="1" t="s">
        <v>315</v>
      </c>
      <c r="O437" s="1" t="s">
        <v>112</v>
      </c>
    </row>
    <row r="438" spans="1:15" ht="18.95" customHeight="1" x14ac:dyDescent="0.25">
      <c r="A438" s="1" t="s">
        <v>724</v>
      </c>
      <c r="B438" s="30">
        <v>45640.5</v>
      </c>
      <c r="C438" s="1" t="s">
        <v>725</v>
      </c>
      <c r="D438" s="1" t="s">
        <v>726</v>
      </c>
      <c r="E438" s="1" t="s">
        <v>90</v>
      </c>
      <c r="F438" s="1" t="s">
        <v>91</v>
      </c>
      <c r="G438" s="1" t="s">
        <v>110</v>
      </c>
      <c r="H438" s="1" t="s">
        <v>85</v>
      </c>
      <c r="I438" s="31">
        <v>1</v>
      </c>
      <c r="J438" s="32">
        <v>12.99</v>
      </c>
      <c r="K438" s="32">
        <v>12.99</v>
      </c>
      <c r="L438" s="32">
        <v>6.17</v>
      </c>
      <c r="M438" s="32">
        <v>6.82</v>
      </c>
      <c r="N438" s="1" t="s">
        <v>86</v>
      </c>
      <c r="O438" s="1" t="s">
        <v>78</v>
      </c>
    </row>
    <row r="439" spans="1:15" ht="18.95" customHeight="1" x14ac:dyDescent="0.25">
      <c r="A439" s="1" t="s">
        <v>724</v>
      </c>
      <c r="B439" s="30">
        <v>45640.5</v>
      </c>
      <c r="C439" s="1" t="s">
        <v>725</v>
      </c>
      <c r="D439" s="1" t="s">
        <v>726</v>
      </c>
      <c r="E439" s="1" t="s">
        <v>90</v>
      </c>
      <c r="F439" s="1" t="s">
        <v>91</v>
      </c>
      <c r="G439" s="1" t="s">
        <v>202</v>
      </c>
      <c r="H439" s="1" t="s">
        <v>85</v>
      </c>
      <c r="I439" s="31">
        <v>1</v>
      </c>
      <c r="J439" s="32">
        <v>6.39</v>
      </c>
      <c r="K439" s="32">
        <v>6.39</v>
      </c>
      <c r="L439" s="32">
        <v>4.1900000000000004</v>
      </c>
      <c r="M439" s="32">
        <v>2.2000000000000002</v>
      </c>
      <c r="N439" s="1" t="s">
        <v>86</v>
      </c>
      <c r="O439" s="1" t="s">
        <v>78</v>
      </c>
    </row>
    <row r="440" spans="1:15" ht="18.95" customHeight="1" x14ac:dyDescent="0.25">
      <c r="A440" s="1" t="s">
        <v>727</v>
      </c>
      <c r="B440" s="30">
        <v>45640.5</v>
      </c>
      <c r="C440" s="1" t="s">
        <v>356</v>
      </c>
      <c r="D440" s="1" t="s">
        <v>357</v>
      </c>
      <c r="E440" s="1" t="s">
        <v>237</v>
      </c>
      <c r="F440" s="1" t="s">
        <v>238</v>
      </c>
      <c r="G440" s="1" t="s">
        <v>151</v>
      </c>
      <c r="H440" s="1" t="s">
        <v>76</v>
      </c>
      <c r="I440" s="31">
        <v>1</v>
      </c>
      <c r="J440" s="32">
        <v>18.989999999999998</v>
      </c>
      <c r="K440" s="32">
        <v>18.989999999999998</v>
      </c>
      <c r="L440" s="32">
        <v>9.68</v>
      </c>
      <c r="M440" s="32">
        <v>9.31</v>
      </c>
      <c r="N440" s="1" t="s">
        <v>86</v>
      </c>
      <c r="O440" s="1" t="s">
        <v>112</v>
      </c>
    </row>
    <row r="441" spans="1:15" ht="18.95" customHeight="1" x14ac:dyDescent="0.25">
      <c r="A441" s="1" t="s">
        <v>728</v>
      </c>
      <c r="B441" s="30">
        <v>45641.5</v>
      </c>
      <c r="C441" s="1" t="s">
        <v>729</v>
      </c>
      <c r="D441" s="1" t="s">
        <v>730</v>
      </c>
      <c r="E441" s="1" t="s">
        <v>243</v>
      </c>
      <c r="F441" s="1" t="s">
        <v>165</v>
      </c>
      <c r="G441" s="1" t="s">
        <v>226</v>
      </c>
      <c r="H441" s="1" t="s">
        <v>85</v>
      </c>
      <c r="I441" s="31">
        <v>2</v>
      </c>
      <c r="J441" s="32">
        <v>74.989999999999995</v>
      </c>
      <c r="K441" s="32">
        <v>149.97999999999999</v>
      </c>
      <c r="L441" s="32">
        <v>110.99</v>
      </c>
      <c r="M441" s="32">
        <v>38.99</v>
      </c>
      <c r="N441" s="1" t="s">
        <v>86</v>
      </c>
      <c r="O441" s="1" t="s">
        <v>118</v>
      </c>
    </row>
    <row r="442" spans="1:15" ht="18.95" customHeight="1" x14ac:dyDescent="0.25">
      <c r="A442" s="1" t="s">
        <v>731</v>
      </c>
      <c r="B442" s="30">
        <v>45641.5</v>
      </c>
      <c r="C442" s="1" t="s">
        <v>732</v>
      </c>
      <c r="D442" s="1" t="s">
        <v>733</v>
      </c>
      <c r="E442" s="1" t="s">
        <v>136</v>
      </c>
      <c r="F442" s="1" t="s">
        <v>137</v>
      </c>
      <c r="G442" s="1" t="s">
        <v>155</v>
      </c>
      <c r="H442" s="1" t="s">
        <v>93</v>
      </c>
      <c r="I442" s="31">
        <v>1</v>
      </c>
      <c r="J442" s="32">
        <v>27.99</v>
      </c>
      <c r="K442" s="32">
        <v>27.99</v>
      </c>
      <c r="L442" s="32">
        <v>14.13</v>
      </c>
      <c r="M442" s="32">
        <v>13.86</v>
      </c>
      <c r="N442" s="1" t="s">
        <v>77</v>
      </c>
      <c r="O442" s="1" t="s">
        <v>78</v>
      </c>
    </row>
    <row r="443" spans="1:15" ht="18.95" customHeight="1" x14ac:dyDescent="0.25">
      <c r="A443" s="1" t="s">
        <v>734</v>
      </c>
      <c r="B443" s="30">
        <v>45642.5</v>
      </c>
      <c r="C443" s="1" t="s">
        <v>167</v>
      </c>
      <c r="D443" s="1" t="s">
        <v>168</v>
      </c>
      <c r="E443" s="1" t="s">
        <v>169</v>
      </c>
      <c r="F443" s="1" t="s">
        <v>170</v>
      </c>
      <c r="G443" s="1" t="s">
        <v>92</v>
      </c>
      <c r="H443" s="1" t="s">
        <v>93</v>
      </c>
      <c r="I443" s="31">
        <v>3</v>
      </c>
      <c r="J443" s="32">
        <v>59.49</v>
      </c>
      <c r="K443" s="32">
        <v>178.47</v>
      </c>
      <c r="L443" s="32">
        <v>142.36000000000001</v>
      </c>
      <c r="M443" s="32">
        <v>36.11</v>
      </c>
      <c r="N443" s="1" t="s">
        <v>86</v>
      </c>
      <c r="O443" s="1" t="s">
        <v>112</v>
      </c>
    </row>
    <row r="444" spans="1:15" ht="18.95" customHeight="1" x14ac:dyDescent="0.25">
      <c r="A444" s="1" t="s">
        <v>735</v>
      </c>
      <c r="B444" s="30">
        <v>45643.5</v>
      </c>
      <c r="C444" s="1" t="s">
        <v>417</v>
      </c>
      <c r="D444" s="1" t="s">
        <v>418</v>
      </c>
      <c r="E444" s="1" t="s">
        <v>82</v>
      </c>
      <c r="F444" s="1" t="s">
        <v>83</v>
      </c>
      <c r="G444" s="1" t="s">
        <v>226</v>
      </c>
      <c r="H444" s="1" t="s">
        <v>85</v>
      </c>
      <c r="I444" s="31">
        <v>1</v>
      </c>
      <c r="J444" s="32">
        <v>74.989999999999995</v>
      </c>
      <c r="K444" s="32">
        <v>74.989999999999995</v>
      </c>
      <c r="L444" s="32">
        <v>55.49</v>
      </c>
      <c r="M444" s="32">
        <v>19.5</v>
      </c>
      <c r="N444" s="1" t="s">
        <v>117</v>
      </c>
      <c r="O444" s="1" t="s">
        <v>118</v>
      </c>
    </row>
    <row r="445" spans="1:15" ht="18.95" customHeight="1" x14ac:dyDescent="0.25">
      <c r="A445" s="1" t="s">
        <v>736</v>
      </c>
      <c r="B445" s="30">
        <v>45645.5</v>
      </c>
      <c r="C445" s="1" t="s">
        <v>210</v>
      </c>
      <c r="D445" s="1" t="s">
        <v>211</v>
      </c>
      <c r="E445" s="1" t="s">
        <v>212</v>
      </c>
      <c r="F445" s="1" t="s">
        <v>83</v>
      </c>
      <c r="G445" s="1" t="s">
        <v>155</v>
      </c>
      <c r="H445" s="1" t="s">
        <v>93</v>
      </c>
      <c r="I445" s="31">
        <v>1</v>
      </c>
      <c r="J445" s="32">
        <v>22.39</v>
      </c>
      <c r="K445" s="32">
        <v>22.39</v>
      </c>
      <c r="L445" s="32">
        <v>13.83</v>
      </c>
      <c r="M445" s="32">
        <v>8.56</v>
      </c>
      <c r="N445" s="1" t="s">
        <v>77</v>
      </c>
      <c r="O445" s="1" t="s">
        <v>78</v>
      </c>
    </row>
    <row r="446" spans="1:15" ht="18.95" customHeight="1" x14ac:dyDescent="0.25">
      <c r="A446" s="1" t="s">
        <v>737</v>
      </c>
      <c r="B446" s="30">
        <v>45646.5</v>
      </c>
      <c r="C446" s="1" t="s">
        <v>353</v>
      </c>
      <c r="D446" s="1" t="s">
        <v>354</v>
      </c>
      <c r="E446" s="1" t="s">
        <v>136</v>
      </c>
      <c r="F446" s="1" t="s">
        <v>137</v>
      </c>
      <c r="G446" s="1" t="s">
        <v>116</v>
      </c>
      <c r="H446" s="1" t="s">
        <v>76</v>
      </c>
      <c r="I446" s="31">
        <v>1</v>
      </c>
      <c r="J446" s="32">
        <v>14.99</v>
      </c>
      <c r="K446" s="32">
        <v>14.99</v>
      </c>
      <c r="L446" s="32">
        <v>6.82</v>
      </c>
      <c r="M446" s="32">
        <v>8.17</v>
      </c>
      <c r="N446" s="1" t="s">
        <v>86</v>
      </c>
      <c r="O446" s="1" t="s">
        <v>78</v>
      </c>
    </row>
    <row r="447" spans="1:15" ht="18.95" customHeight="1" x14ac:dyDescent="0.25">
      <c r="A447" s="1" t="s">
        <v>738</v>
      </c>
      <c r="B447" s="30">
        <v>45648.5</v>
      </c>
      <c r="C447" s="1" t="s">
        <v>739</v>
      </c>
      <c r="D447" s="1" t="s">
        <v>740</v>
      </c>
      <c r="E447" s="1" t="s">
        <v>136</v>
      </c>
      <c r="F447" s="1" t="s">
        <v>137</v>
      </c>
      <c r="G447" s="1" t="s">
        <v>157</v>
      </c>
      <c r="H447" s="1" t="s">
        <v>93</v>
      </c>
      <c r="I447" s="31">
        <v>3</v>
      </c>
      <c r="J447" s="32">
        <v>17.989999999999998</v>
      </c>
      <c r="K447" s="32">
        <v>53.97</v>
      </c>
      <c r="L447" s="32">
        <v>29.36</v>
      </c>
      <c r="M447" s="32">
        <v>24.61</v>
      </c>
      <c r="N447" s="1" t="s">
        <v>86</v>
      </c>
      <c r="O447" s="1" t="s">
        <v>78</v>
      </c>
    </row>
    <row r="448" spans="1:15" ht="18.95" customHeight="1" x14ac:dyDescent="0.25">
      <c r="A448" s="1" t="s">
        <v>741</v>
      </c>
      <c r="B448" s="30">
        <v>45650.5</v>
      </c>
      <c r="C448" s="1" t="s">
        <v>742</v>
      </c>
      <c r="D448" s="1" t="s">
        <v>743</v>
      </c>
      <c r="E448" s="1" t="s">
        <v>90</v>
      </c>
      <c r="F448" s="1" t="s">
        <v>91</v>
      </c>
      <c r="G448" s="1" t="s">
        <v>151</v>
      </c>
      <c r="H448" s="1" t="s">
        <v>76</v>
      </c>
      <c r="I448" s="31">
        <v>1</v>
      </c>
      <c r="J448" s="32">
        <v>18.989999999999998</v>
      </c>
      <c r="K448" s="32">
        <v>18.989999999999998</v>
      </c>
      <c r="L448" s="32">
        <v>9.2100000000000009</v>
      </c>
      <c r="M448" s="32">
        <v>9.7799999999999994</v>
      </c>
      <c r="N448" s="1" t="s">
        <v>111</v>
      </c>
      <c r="O448" s="1" t="s">
        <v>78</v>
      </c>
    </row>
    <row r="449" spans="1:15" ht="18.95" customHeight="1" x14ac:dyDescent="0.25">
      <c r="A449" s="1" t="s">
        <v>744</v>
      </c>
      <c r="B449" s="30">
        <v>45652.5</v>
      </c>
      <c r="C449" s="1" t="s">
        <v>134</v>
      </c>
      <c r="D449" s="1" t="s">
        <v>135</v>
      </c>
      <c r="E449" s="1" t="s">
        <v>136</v>
      </c>
      <c r="F449" s="1" t="s">
        <v>137</v>
      </c>
      <c r="G449" s="1" t="s">
        <v>259</v>
      </c>
      <c r="H449" s="1" t="s">
        <v>85</v>
      </c>
      <c r="I449" s="31">
        <v>1</v>
      </c>
      <c r="J449" s="32">
        <v>159.99</v>
      </c>
      <c r="K449" s="32">
        <v>159.99</v>
      </c>
      <c r="L449" s="32">
        <v>167.19</v>
      </c>
      <c r="M449" s="32">
        <v>-7.2</v>
      </c>
      <c r="N449" s="1" t="s">
        <v>77</v>
      </c>
      <c r="O449" s="1" t="s">
        <v>118</v>
      </c>
    </row>
    <row r="450" spans="1:15" ht="18.95" customHeight="1" x14ac:dyDescent="0.25">
      <c r="A450" s="1" t="s">
        <v>745</v>
      </c>
      <c r="B450" s="30">
        <v>45652.5</v>
      </c>
      <c r="C450" s="1" t="s">
        <v>623</v>
      </c>
      <c r="D450" s="1" t="s">
        <v>624</v>
      </c>
      <c r="E450" s="1" t="s">
        <v>90</v>
      </c>
      <c r="F450" s="1" t="s">
        <v>91</v>
      </c>
      <c r="G450" s="1" t="s">
        <v>319</v>
      </c>
      <c r="H450" s="1" t="s">
        <v>128</v>
      </c>
      <c r="I450" s="31">
        <v>1</v>
      </c>
      <c r="J450" s="32">
        <v>49.49</v>
      </c>
      <c r="K450" s="32">
        <v>49.49</v>
      </c>
      <c r="L450" s="32">
        <v>38.93</v>
      </c>
      <c r="M450" s="32">
        <v>10.56</v>
      </c>
      <c r="N450" s="1" t="s">
        <v>86</v>
      </c>
      <c r="O450" s="1" t="s">
        <v>118</v>
      </c>
    </row>
    <row r="451" spans="1:15" ht="18.95" customHeight="1" x14ac:dyDescent="0.25">
      <c r="A451" s="1" t="s">
        <v>746</v>
      </c>
      <c r="B451" s="30">
        <v>45652.5</v>
      </c>
      <c r="C451" s="1" t="s">
        <v>677</v>
      </c>
      <c r="D451" s="1" t="s">
        <v>678</v>
      </c>
      <c r="E451" s="1" t="s">
        <v>74</v>
      </c>
      <c r="F451" s="1" t="s">
        <v>74</v>
      </c>
      <c r="G451" s="1" t="s">
        <v>179</v>
      </c>
      <c r="H451" s="1" t="s">
        <v>128</v>
      </c>
      <c r="I451" s="31">
        <v>1</v>
      </c>
      <c r="J451" s="32">
        <v>39.99</v>
      </c>
      <c r="K451" s="32">
        <v>39.99</v>
      </c>
      <c r="L451" s="32">
        <v>23.39</v>
      </c>
      <c r="M451" s="32">
        <v>16.600000000000001</v>
      </c>
      <c r="N451" s="1" t="s">
        <v>117</v>
      </c>
      <c r="O451" s="1" t="s">
        <v>233</v>
      </c>
    </row>
    <row r="452" spans="1:15" ht="18.95" customHeight="1" x14ac:dyDescent="0.25">
      <c r="A452" s="1" t="s">
        <v>746</v>
      </c>
      <c r="B452" s="30">
        <v>45652.5</v>
      </c>
      <c r="C452" s="1" t="s">
        <v>677</v>
      </c>
      <c r="D452" s="1" t="s">
        <v>678</v>
      </c>
      <c r="E452" s="1" t="s">
        <v>74</v>
      </c>
      <c r="F452" s="1" t="s">
        <v>74</v>
      </c>
      <c r="G452" s="1" t="s">
        <v>127</v>
      </c>
      <c r="H452" s="1" t="s">
        <v>128</v>
      </c>
      <c r="I452" s="31">
        <v>1</v>
      </c>
      <c r="J452" s="32">
        <v>23.74</v>
      </c>
      <c r="K452" s="32">
        <v>23.74</v>
      </c>
      <c r="L452" s="32">
        <v>15.29</v>
      </c>
      <c r="M452" s="32">
        <v>8.4499999999999993</v>
      </c>
      <c r="N452" s="1" t="s">
        <v>117</v>
      </c>
      <c r="O452" s="1" t="s">
        <v>233</v>
      </c>
    </row>
    <row r="453" spans="1:15" ht="18.95" customHeight="1" x14ac:dyDescent="0.25">
      <c r="A453" s="1" t="s">
        <v>747</v>
      </c>
      <c r="B453" s="30">
        <v>45653.5</v>
      </c>
      <c r="C453" s="1" t="s">
        <v>389</v>
      </c>
      <c r="D453" s="1" t="s">
        <v>390</v>
      </c>
      <c r="E453" s="1" t="s">
        <v>391</v>
      </c>
      <c r="F453" s="1" t="s">
        <v>170</v>
      </c>
      <c r="G453" s="1" t="s">
        <v>157</v>
      </c>
      <c r="H453" s="1" t="s">
        <v>93</v>
      </c>
      <c r="I453" s="31">
        <v>1</v>
      </c>
      <c r="J453" s="32">
        <v>19.989999999999998</v>
      </c>
      <c r="K453" s="32">
        <v>19.989999999999998</v>
      </c>
      <c r="L453" s="32">
        <v>11.19</v>
      </c>
      <c r="M453" s="32">
        <v>8.8000000000000007</v>
      </c>
      <c r="N453" s="1" t="s">
        <v>86</v>
      </c>
      <c r="O453" s="1" t="s">
        <v>118</v>
      </c>
    </row>
    <row r="454" spans="1:15" ht="18.95" customHeight="1" x14ac:dyDescent="0.25">
      <c r="A454" s="1" t="s">
        <v>748</v>
      </c>
      <c r="B454" s="30">
        <v>45653.5</v>
      </c>
      <c r="C454" s="1" t="s">
        <v>694</v>
      </c>
      <c r="D454" s="1" t="s">
        <v>695</v>
      </c>
      <c r="E454" s="1" t="s">
        <v>150</v>
      </c>
      <c r="F454" s="1" t="s">
        <v>105</v>
      </c>
      <c r="G454" s="1" t="s">
        <v>230</v>
      </c>
      <c r="H454" s="1" t="s">
        <v>128</v>
      </c>
      <c r="I454" s="31">
        <v>1</v>
      </c>
      <c r="J454" s="32">
        <v>40.49</v>
      </c>
      <c r="K454" s="32">
        <v>40.49</v>
      </c>
      <c r="L454" s="32">
        <v>28.73</v>
      </c>
      <c r="M454" s="32">
        <v>11.76</v>
      </c>
      <c r="N454" s="1" t="s">
        <v>117</v>
      </c>
      <c r="O454" s="1" t="s">
        <v>233</v>
      </c>
    </row>
    <row r="455" spans="1:15" ht="18.95" customHeight="1" x14ac:dyDescent="0.25">
      <c r="A455" s="1" t="s">
        <v>749</v>
      </c>
      <c r="B455" s="30">
        <v>45654.5</v>
      </c>
      <c r="C455" s="1" t="s">
        <v>380</v>
      </c>
      <c r="D455" s="1" t="s">
        <v>381</v>
      </c>
      <c r="E455" s="1" t="s">
        <v>183</v>
      </c>
      <c r="F455" s="1" t="s">
        <v>137</v>
      </c>
      <c r="G455" s="1" t="s">
        <v>84</v>
      </c>
      <c r="H455" s="1" t="s">
        <v>85</v>
      </c>
      <c r="I455" s="31">
        <v>6</v>
      </c>
      <c r="J455" s="32">
        <v>7.19</v>
      </c>
      <c r="K455" s="32">
        <v>43.14</v>
      </c>
      <c r="L455" s="32">
        <v>26.21</v>
      </c>
      <c r="M455" s="32">
        <v>16.93</v>
      </c>
      <c r="N455" s="1" t="s">
        <v>117</v>
      </c>
      <c r="O455" s="1" t="s">
        <v>118</v>
      </c>
    </row>
    <row r="456" spans="1:15" ht="18.95" customHeight="1" x14ac:dyDescent="0.25">
      <c r="A456" s="1" t="s">
        <v>749</v>
      </c>
      <c r="B456" s="30">
        <v>45654.5</v>
      </c>
      <c r="C456" s="1" t="s">
        <v>380</v>
      </c>
      <c r="D456" s="1" t="s">
        <v>381</v>
      </c>
      <c r="E456" s="1" t="s">
        <v>183</v>
      </c>
      <c r="F456" s="1" t="s">
        <v>137</v>
      </c>
      <c r="G456" s="1" t="s">
        <v>98</v>
      </c>
      <c r="H456" s="1" t="s">
        <v>99</v>
      </c>
      <c r="I456" s="31">
        <v>1</v>
      </c>
      <c r="J456" s="32">
        <v>28.49</v>
      </c>
      <c r="K456" s="32">
        <v>28.49</v>
      </c>
      <c r="L456" s="32">
        <v>18.11</v>
      </c>
      <c r="M456" s="32">
        <v>10.38</v>
      </c>
      <c r="N456" s="1" t="s">
        <v>117</v>
      </c>
      <c r="O456" s="1" t="s">
        <v>118</v>
      </c>
    </row>
    <row r="457" spans="1:15" ht="18.95" customHeight="1" x14ac:dyDescent="0.25">
      <c r="A457" s="1" t="s">
        <v>750</v>
      </c>
      <c r="B457" s="30">
        <v>45654.5</v>
      </c>
      <c r="C457" s="1" t="s">
        <v>162</v>
      </c>
      <c r="D457" s="1" t="s">
        <v>163</v>
      </c>
      <c r="E457" s="1" t="s">
        <v>164</v>
      </c>
      <c r="F457" s="1" t="s">
        <v>165</v>
      </c>
      <c r="G457" s="1" t="s">
        <v>195</v>
      </c>
      <c r="H457" s="1" t="s">
        <v>128</v>
      </c>
      <c r="I457" s="31">
        <v>1</v>
      </c>
      <c r="J457" s="32">
        <v>132.99</v>
      </c>
      <c r="K457" s="32">
        <v>132.99</v>
      </c>
      <c r="L457" s="32">
        <v>106.71</v>
      </c>
      <c r="M457" s="32">
        <v>26.28</v>
      </c>
      <c r="N457" s="1" t="s">
        <v>86</v>
      </c>
      <c r="O457" s="1" t="s">
        <v>78</v>
      </c>
    </row>
    <row r="458" spans="1:15" ht="18.95" customHeight="1" x14ac:dyDescent="0.25">
      <c r="A458" s="1" t="s">
        <v>751</v>
      </c>
      <c r="B458" s="30">
        <v>45656.5</v>
      </c>
      <c r="C458" s="1" t="s">
        <v>711</v>
      </c>
      <c r="D458" s="1" t="s">
        <v>712</v>
      </c>
      <c r="E458" s="1" t="s">
        <v>183</v>
      </c>
      <c r="F458" s="1" t="s">
        <v>137</v>
      </c>
      <c r="G458" s="1" t="s">
        <v>110</v>
      </c>
      <c r="H458" s="1" t="s">
        <v>85</v>
      </c>
      <c r="I458" s="31">
        <v>1</v>
      </c>
      <c r="J458" s="32">
        <v>12.34</v>
      </c>
      <c r="K458" s="32">
        <v>12.34</v>
      </c>
      <c r="L458" s="32">
        <v>6.13</v>
      </c>
      <c r="M458" s="32">
        <v>6.21</v>
      </c>
      <c r="N458" s="1" t="s">
        <v>86</v>
      </c>
      <c r="O458" s="1" t="s">
        <v>78</v>
      </c>
    </row>
    <row r="459" spans="1:15" ht="18.95" customHeight="1" x14ac:dyDescent="0.25">
      <c r="A459" s="1" t="s">
        <v>751</v>
      </c>
      <c r="B459" s="30">
        <v>45656.5</v>
      </c>
      <c r="C459" s="1" t="s">
        <v>711</v>
      </c>
      <c r="D459" s="1" t="s">
        <v>712</v>
      </c>
      <c r="E459" s="1" t="s">
        <v>183</v>
      </c>
      <c r="F459" s="1" t="s">
        <v>137</v>
      </c>
      <c r="G459" s="1" t="s">
        <v>207</v>
      </c>
      <c r="H459" s="1" t="s">
        <v>85</v>
      </c>
      <c r="I459" s="31">
        <v>1</v>
      </c>
      <c r="J459" s="32">
        <v>107.99</v>
      </c>
      <c r="K459" s="32">
        <v>107.99</v>
      </c>
      <c r="L459" s="32">
        <v>88.73</v>
      </c>
      <c r="M459" s="32">
        <v>19.260000000000002</v>
      </c>
      <c r="N459" s="1" t="s">
        <v>86</v>
      </c>
      <c r="O459" s="1" t="s">
        <v>78</v>
      </c>
    </row>
    <row r="460" spans="1:15" ht="18.95" customHeight="1" x14ac:dyDescent="0.25">
      <c r="A460" s="1" t="s">
        <v>752</v>
      </c>
      <c r="B460" s="30">
        <v>45657.5</v>
      </c>
      <c r="C460" s="1" t="s">
        <v>385</v>
      </c>
      <c r="D460" s="1" t="s">
        <v>386</v>
      </c>
      <c r="E460" s="1" t="s">
        <v>150</v>
      </c>
      <c r="F460" s="1" t="s">
        <v>105</v>
      </c>
      <c r="G460" s="1" t="s">
        <v>155</v>
      </c>
      <c r="H460" s="1" t="s">
        <v>93</v>
      </c>
      <c r="I460" s="31">
        <v>1</v>
      </c>
      <c r="J460" s="32">
        <v>25.19</v>
      </c>
      <c r="K460" s="32">
        <v>25.19</v>
      </c>
      <c r="L460" s="32">
        <v>13.98</v>
      </c>
      <c r="M460" s="32">
        <v>11.21</v>
      </c>
      <c r="N460" s="1" t="s">
        <v>77</v>
      </c>
      <c r="O460" s="1" t="s">
        <v>78</v>
      </c>
    </row>
    <row r="461" spans="1:15" ht="18.95" customHeight="1" x14ac:dyDescent="0.25">
      <c r="A461" s="1" t="s">
        <v>753</v>
      </c>
      <c r="B461" s="30">
        <v>45662.5</v>
      </c>
      <c r="C461" s="1" t="s">
        <v>426</v>
      </c>
      <c r="D461" s="1" t="s">
        <v>427</v>
      </c>
      <c r="E461" s="1" t="s">
        <v>237</v>
      </c>
      <c r="F461" s="1" t="s">
        <v>238</v>
      </c>
      <c r="G461" s="1" t="s">
        <v>322</v>
      </c>
      <c r="H461" s="1" t="s">
        <v>128</v>
      </c>
      <c r="I461" s="31">
        <v>2</v>
      </c>
      <c r="J461" s="32">
        <v>61.19</v>
      </c>
      <c r="K461" s="32">
        <v>122.38</v>
      </c>
      <c r="L461" s="32">
        <v>86.51</v>
      </c>
      <c r="M461" s="32">
        <v>35.869999999999997</v>
      </c>
      <c r="N461" s="1" t="s">
        <v>111</v>
      </c>
      <c r="O461" s="1" t="s">
        <v>112</v>
      </c>
    </row>
    <row r="462" spans="1:15" ht="18.95" customHeight="1" x14ac:dyDescent="0.25">
      <c r="A462" s="1" t="s">
        <v>754</v>
      </c>
      <c r="B462" s="30">
        <v>45662.5</v>
      </c>
      <c r="C462" s="1" t="s">
        <v>359</v>
      </c>
      <c r="D462" s="1" t="s">
        <v>360</v>
      </c>
      <c r="E462" s="1" t="s">
        <v>212</v>
      </c>
      <c r="F462" s="1" t="s">
        <v>83</v>
      </c>
      <c r="G462" s="1" t="s">
        <v>75</v>
      </c>
      <c r="H462" s="1" t="s">
        <v>76</v>
      </c>
      <c r="I462" s="31">
        <v>1</v>
      </c>
      <c r="J462" s="32">
        <v>27.53</v>
      </c>
      <c r="K462" s="32">
        <v>27.53</v>
      </c>
      <c r="L462" s="32">
        <v>14.66</v>
      </c>
      <c r="M462" s="32">
        <v>12.87</v>
      </c>
      <c r="N462" s="1" t="s">
        <v>117</v>
      </c>
      <c r="O462" s="1" t="s">
        <v>78</v>
      </c>
    </row>
    <row r="463" spans="1:15" ht="18.95" customHeight="1" x14ac:dyDescent="0.25">
      <c r="A463" s="1" t="s">
        <v>754</v>
      </c>
      <c r="B463" s="30">
        <v>45662.5</v>
      </c>
      <c r="C463" s="1" t="s">
        <v>359</v>
      </c>
      <c r="D463" s="1" t="s">
        <v>360</v>
      </c>
      <c r="E463" s="1" t="s">
        <v>212</v>
      </c>
      <c r="F463" s="1" t="s">
        <v>83</v>
      </c>
      <c r="G463" s="1" t="s">
        <v>207</v>
      </c>
      <c r="H463" s="1" t="s">
        <v>85</v>
      </c>
      <c r="I463" s="31">
        <v>1</v>
      </c>
      <c r="J463" s="32">
        <v>122.39</v>
      </c>
      <c r="K463" s="32">
        <v>122.39</v>
      </c>
      <c r="L463" s="32">
        <v>90.77</v>
      </c>
      <c r="M463" s="32">
        <v>31.62</v>
      </c>
      <c r="N463" s="1" t="s">
        <v>117</v>
      </c>
      <c r="O463" s="1" t="s">
        <v>78</v>
      </c>
    </row>
    <row r="464" spans="1:15" ht="18.95" customHeight="1" x14ac:dyDescent="0.25">
      <c r="A464" s="1" t="s">
        <v>755</v>
      </c>
      <c r="B464" s="30">
        <v>45662.5</v>
      </c>
      <c r="C464" s="1" t="s">
        <v>172</v>
      </c>
      <c r="D464" s="1" t="s">
        <v>173</v>
      </c>
      <c r="E464" s="1" t="s">
        <v>174</v>
      </c>
      <c r="F464" s="1" t="s">
        <v>175</v>
      </c>
      <c r="G464" s="1" t="s">
        <v>110</v>
      </c>
      <c r="H464" s="1" t="s">
        <v>85</v>
      </c>
      <c r="I464" s="31">
        <v>1</v>
      </c>
      <c r="J464" s="32">
        <v>13.25</v>
      </c>
      <c r="K464" s="32">
        <v>13.25</v>
      </c>
      <c r="L464" s="32">
        <v>6.27</v>
      </c>
      <c r="M464" s="32">
        <v>6.98</v>
      </c>
      <c r="N464" s="1" t="s">
        <v>117</v>
      </c>
      <c r="O464" s="1" t="s">
        <v>78</v>
      </c>
    </row>
    <row r="465" spans="1:15" ht="18.95" customHeight="1" x14ac:dyDescent="0.25">
      <c r="A465" s="1" t="s">
        <v>756</v>
      </c>
      <c r="B465" s="30">
        <v>45662.5</v>
      </c>
      <c r="C465" s="1" t="s">
        <v>633</v>
      </c>
      <c r="D465" s="1" t="s">
        <v>634</v>
      </c>
      <c r="E465" s="1" t="s">
        <v>193</v>
      </c>
      <c r="F465" s="1" t="s">
        <v>194</v>
      </c>
      <c r="G465" s="1" t="s">
        <v>306</v>
      </c>
      <c r="H465" s="1" t="s">
        <v>76</v>
      </c>
      <c r="I465" s="31">
        <v>2</v>
      </c>
      <c r="J465" s="32">
        <v>21.67</v>
      </c>
      <c r="K465" s="32">
        <v>43.34</v>
      </c>
      <c r="L465" s="32">
        <v>25.72</v>
      </c>
      <c r="M465" s="32">
        <v>17.62</v>
      </c>
      <c r="N465" s="1" t="s">
        <v>86</v>
      </c>
      <c r="O465" s="1" t="s">
        <v>78</v>
      </c>
    </row>
    <row r="466" spans="1:15" ht="18.95" customHeight="1" x14ac:dyDescent="0.25">
      <c r="A466" s="1" t="s">
        <v>756</v>
      </c>
      <c r="B466" s="30">
        <v>45662.5</v>
      </c>
      <c r="C466" s="1" t="s">
        <v>633</v>
      </c>
      <c r="D466" s="1" t="s">
        <v>634</v>
      </c>
      <c r="E466" s="1" t="s">
        <v>193</v>
      </c>
      <c r="F466" s="1" t="s">
        <v>194</v>
      </c>
      <c r="G466" s="1" t="s">
        <v>202</v>
      </c>
      <c r="H466" s="1" t="s">
        <v>85</v>
      </c>
      <c r="I466" s="31">
        <v>2</v>
      </c>
      <c r="J466" s="32">
        <v>8.15</v>
      </c>
      <c r="K466" s="32">
        <v>16.3</v>
      </c>
      <c r="L466" s="32">
        <v>8.68</v>
      </c>
      <c r="M466" s="32">
        <v>7.62</v>
      </c>
      <c r="N466" s="1" t="s">
        <v>86</v>
      </c>
      <c r="O466" s="1" t="s">
        <v>78</v>
      </c>
    </row>
    <row r="467" spans="1:15" ht="18.95" customHeight="1" x14ac:dyDescent="0.25">
      <c r="A467" s="1" t="s">
        <v>757</v>
      </c>
      <c r="B467" s="30">
        <v>45665.5</v>
      </c>
      <c r="C467" s="1" t="s">
        <v>282</v>
      </c>
      <c r="D467" s="1" t="s">
        <v>283</v>
      </c>
      <c r="E467" s="1" t="s">
        <v>164</v>
      </c>
      <c r="F467" s="1" t="s">
        <v>165</v>
      </c>
      <c r="G467" s="1" t="s">
        <v>75</v>
      </c>
      <c r="H467" s="1" t="s">
        <v>76</v>
      </c>
      <c r="I467" s="31">
        <v>1</v>
      </c>
      <c r="J467" s="32">
        <v>27.53</v>
      </c>
      <c r="K467" s="32">
        <v>27.53</v>
      </c>
      <c r="L467" s="32">
        <v>16.45</v>
      </c>
      <c r="M467" s="32">
        <v>11.08</v>
      </c>
      <c r="N467" s="1" t="s">
        <v>86</v>
      </c>
      <c r="O467" s="1" t="s">
        <v>118</v>
      </c>
    </row>
    <row r="468" spans="1:15" ht="18.95" customHeight="1" x14ac:dyDescent="0.25">
      <c r="A468" s="1" t="s">
        <v>758</v>
      </c>
      <c r="B468" s="30">
        <v>45665.5</v>
      </c>
      <c r="C468" s="1" t="s">
        <v>759</v>
      </c>
      <c r="D468" s="1" t="s">
        <v>760</v>
      </c>
      <c r="E468" s="1" t="s">
        <v>74</v>
      </c>
      <c r="F468" s="1" t="s">
        <v>74</v>
      </c>
      <c r="G468" s="1" t="s">
        <v>259</v>
      </c>
      <c r="H468" s="1" t="s">
        <v>85</v>
      </c>
      <c r="I468" s="31">
        <v>1</v>
      </c>
      <c r="J468" s="32">
        <v>203.99</v>
      </c>
      <c r="K468" s="32">
        <v>203.99</v>
      </c>
      <c r="L468" s="32">
        <v>161.43</v>
      </c>
      <c r="M468" s="32">
        <v>42.56</v>
      </c>
      <c r="N468" s="1" t="s">
        <v>100</v>
      </c>
      <c r="O468" s="1" t="s">
        <v>78</v>
      </c>
    </row>
    <row r="469" spans="1:15" ht="18.95" customHeight="1" x14ac:dyDescent="0.25">
      <c r="A469" s="1" t="s">
        <v>761</v>
      </c>
      <c r="B469" s="30">
        <v>45667.5</v>
      </c>
      <c r="C469" s="1" t="s">
        <v>130</v>
      </c>
      <c r="D469" s="1" t="s">
        <v>131</v>
      </c>
      <c r="E469" s="1" t="s">
        <v>82</v>
      </c>
      <c r="F469" s="1" t="s">
        <v>83</v>
      </c>
      <c r="G469" s="1" t="s">
        <v>98</v>
      </c>
      <c r="H469" s="1" t="s">
        <v>99</v>
      </c>
      <c r="I469" s="31">
        <v>1</v>
      </c>
      <c r="J469" s="32">
        <v>29.06</v>
      </c>
      <c r="K469" s="32">
        <v>29.06</v>
      </c>
      <c r="L469" s="32">
        <v>17.239999999999998</v>
      </c>
      <c r="M469" s="32">
        <v>11.82</v>
      </c>
      <c r="N469" s="1" t="s">
        <v>117</v>
      </c>
      <c r="O469" s="1" t="s">
        <v>112</v>
      </c>
    </row>
    <row r="470" spans="1:15" ht="18.95" customHeight="1" x14ac:dyDescent="0.25">
      <c r="A470" s="1" t="s">
        <v>761</v>
      </c>
      <c r="B470" s="30">
        <v>45667.5</v>
      </c>
      <c r="C470" s="1" t="s">
        <v>130</v>
      </c>
      <c r="D470" s="1" t="s">
        <v>131</v>
      </c>
      <c r="E470" s="1" t="s">
        <v>82</v>
      </c>
      <c r="F470" s="1" t="s">
        <v>83</v>
      </c>
      <c r="G470" s="1" t="s">
        <v>293</v>
      </c>
      <c r="H470" s="1" t="s">
        <v>99</v>
      </c>
      <c r="I470" s="31">
        <v>3</v>
      </c>
      <c r="J470" s="32">
        <v>112.19</v>
      </c>
      <c r="K470" s="32">
        <v>336.57</v>
      </c>
      <c r="L470" s="32">
        <v>254.67</v>
      </c>
      <c r="M470" s="32">
        <v>81.900000000000006</v>
      </c>
      <c r="N470" s="1" t="s">
        <v>117</v>
      </c>
      <c r="O470" s="1" t="s">
        <v>112</v>
      </c>
    </row>
    <row r="471" spans="1:15" ht="18.95" customHeight="1" x14ac:dyDescent="0.25">
      <c r="A471" s="1" t="s">
        <v>762</v>
      </c>
      <c r="B471" s="30">
        <v>45670.5</v>
      </c>
      <c r="C471" s="1" t="s">
        <v>108</v>
      </c>
      <c r="D471" s="1" t="s">
        <v>109</v>
      </c>
      <c r="E471" s="1" t="s">
        <v>74</v>
      </c>
      <c r="F471" s="1" t="s">
        <v>74</v>
      </c>
      <c r="G471" s="1" t="s">
        <v>84</v>
      </c>
      <c r="H471" s="1" t="s">
        <v>85</v>
      </c>
      <c r="I471" s="31">
        <v>1</v>
      </c>
      <c r="J471" s="32">
        <v>8.7100000000000009</v>
      </c>
      <c r="K471" s="32">
        <v>8.7100000000000009</v>
      </c>
      <c r="L471" s="32">
        <v>4.04</v>
      </c>
      <c r="M471" s="32">
        <v>4.67</v>
      </c>
      <c r="N471" s="1" t="s">
        <v>86</v>
      </c>
      <c r="O471" s="1" t="s">
        <v>78</v>
      </c>
    </row>
    <row r="472" spans="1:15" ht="18.95" customHeight="1" x14ac:dyDescent="0.25">
      <c r="A472" s="1" t="s">
        <v>763</v>
      </c>
      <c r="B472" s="30">
        <v>45673.5</v>
      </c>
      <c r="C472" s="1" t="s">
        <v>153</v>
      </c>
      <c r="D472" s="1" t="s">
        <v>154</v>
      </c>
      <c r="E472" s="1" t="s">
        <v>97</v>
      </c>
      <c r="F472" s="1" t="s">
        <v>91</v>
      </c>
      <c r="G472" s="1" t="s">
        <v>116</v>
      </c>
      <c r="H472" s="1" t="s">
        <v>76</v>
      </c>
      <c r="I472" s="31">
        <v>2</v>
      </c>
      <c r="J472" s="32">
        <v>15.29</v>
      </c>
      <c r="K472" s="32">
        <v>30.58</v>
      </c>
      <c r="L472" s="32">
        <v>13.85</v>
      </c>
      <c r="M472" s="32">
        <v>16.73</v>
      </c>
      <c r="N472" s="1" t="s">
        <v>117</v>
      </c>
      <c r="O472" s="1" t="s">
        <v>78</v>
      </c>
    </row>
    <row r="473" spans="1:15" ht="18.95" customHeight="1" x14ac:dyDescent="0.25">
      <c r="A473" s="1" t="s">
        <v>763</v>
      </c>
      <c r="B473" s="30">
        <v>45673.5</v>
      </c>
      <c r="C473" s="1" t="s">
        <v>153</v>
      </c>
      <c r="D473" s="1" t="s">
        <v>154</v>
      </c>
      <c r="E473" s="1" t="s">
        <v>97</v>
      </c>
      <c r="F473" s="1" t="s">
        <v>91</v>
      </c>
      <c r="G473" s="1" t="s">
        <v>143</v>
      </c>
      <c r="H473" s="1" t="s">
        <v>128</v>
      </c>
      <c r="I473" s="31">
        <v>1</v>
      </c>
      <c r="J473" s="32">
        <v>96.89</v>
      </c>
      <c r="K473" s="32">
        <v>96.89</v>
      </c>
      <c r="L473" s="32">
        <v>74.75</v>
      </c>
      <c r="M473" s="32">
        <v>22.14</v>
      </c>
      <c r="N473" s="1" t="s">
        <v>117</v>
      </c>
      <c r="O473" s="1" t="s">
        <v>78</v>
      </c>
    </row>
    <row r="474" spans="1:15" ht="18.95" customHeight="1" x14ac:dyDescent="0.25">
      <c r="A474" s="1" t="s">
        <v>764</v>
      </c>
      <c r="B474" s="30">
        <v>45676.5</v>
      </c>
      <c r="C474" s="1" t="s">
        <v>765</v>
      </c>
      <c r="D474" s="1" t="s">
        <v>766</v>
      </c>
      <c r="E474" s="1" t="s">
        <v>74</v>
      </c>
      <c r="F474" s="1" t="s">
        <v>74</v>
      </c>
      <c r="G474" s="1" t="s">
        <v>143</v>
      </c>
      <c r="H474" s="1" t="s">
        <v>128</v>
      </c>
      <c r="I474" s="31">
        <v>3</v>
      </c>
      <c r="J474" s="32">
        <v>96.89</v>
      </c>
      <c r="K474" s="32">
        <v>290.67</v>
      </c>
      <c r="L474" s="32">
        <v>224.24</v>
      </c>
      <c r="M474" s="32">
        <v>66.430000000000007</v>
      </c>
      <c r="N474" s="1" t="s">
        <v>86</v>
      </c>
      <c r="O474" s="1" t="s">
        <v>78</v>
      </c>
    </row>
    <row r="475" spans="1:15" ht="18.95" customHeight="1" x14ac:dyDescent="0.25">
      <c r="A475" s="1" t="s">
        <v>767</v>
      </c>
      <c r="B475" s="30">
        <v>45677.5</v>
      </c>
      <c r="C475" s="1" t="s">
        <v>373</v>
      </c>
      <c r="D475" s="1" t="s">
        <v>374</v>
      </c>
      <c r="E475" s="1" t="s">
        <v>90</v>
      </c>
      <c r="F475" s="1" t="s">
        <v>91</v>
      </c>
      <c r="G475" s="1" t="s">
        <v>226</v>
      </c>
      <c r="H475" s="1" t="s">
        <v>85</v>
      </c>
      <c r="I475" s="31">
        <v>1</v>
      </c>
      <c r="J475" s="32">
        <v>68.84</v>
      </c>
      <c r="K475" s="32">
        <v>68.84</v>
      </c>
      <c r="L475" s="32">
        <v>50.98</v>
      </c>
      <c r="M475" s="32">
        <v>17.86</v>
      </c>
      <c r="N475" s="1" t="s">
        <v>117</v>
      </c>
      <c r="O475" s="1" t="s">
        <v>78</v>
      </c>
    </row>
    <row r="476" spans="1:15" ht="18.95" customHeight="1" x14ac:dyDescent="0.25">
      <c r="A476" s="1" t="s">
        <v>767</v>
      </c>
      <c r="B476" s="30">
        <v>45677.5</v>
      </c>
      <c r="C476" s="1" t="s">
        <v>373</v>
      </c>
      <c r="D476" s="1" t="s">
        <v>374</v>
      </c>
      <c r="E476" s="1" t="s">
        <v>90</v>
      </c>
      <c r="F476" s="1" t="s">
        <v>91</v>
      </c>
      <c r="G476" s="1" t="s">
        <v>127</v>
      </c>
      <c r="H476" s="1" t="s">
        <v>128</v>
      </c>
      <c r="I476" s="31">
        <v>1</v>
      </c>
      <c r="J476" s="32">
        <v>24.22</v>
      </c>
      <c r="K476" s="32">
        <v>24.22</v>
      </c>
      <c r="L476" s="32">
        <v>15.28</v>
      </c>
      <c r="M476" s="32">
        <v>8.94</v>
      </c>
      <c r="N476" s="1" t="s">
        <v>117</v>
      </c>
      <c r="O476" s="1" t="s">
        <v>78</v>
      </c>
    </row>
    <row r="477" spans="1:15" ht="18.95" customHeight="1" x14ac:dyDescent="0.25">
      <c r="A477" s="1" t="s">
        <v>767</v>
      </c>
      <c r="B477" s="30">
        <v>45677.5</v>
      </c>
      <c r="C477" s="1" t="s">
        <v>373</v>
      </c>
      <c r="D477" s="1" t="s">
        <v>374</v>
      </c>
      <c r="E477" s="1" t="s">
        <v>90</v>
      </c>
      <c r="F477" s="1" t="s">
        <v>91</v>
      </c>
      <c r="G477" s="1" t="s">
        <v>202</v>
      </c>
      <c r="H477" s="1" t="s">
        <v>85</v>
      </c>
      <c r="I477" s="31">
        <v>2</v>
      </c>
      <c r="J477" s="32">
        <v>7.74</v>
      </c>
      <c r="K477" s="32">
        <v>15.48</v>
      </c>
      <c r="L477" s="32">
        <v>8.64</v>
      </c>
      <c r="M477" s="32">
        <v>6.84</v>
      </c>
      <c r="N477" s="1" t="s">
        <v>117</v>
      </c>
      <c r="O477" s="1" t="s">
        <v>78</v>
      </c>
    </row>
    <row r="478" spans="1:15" ht="18.95" customHeight="1" x14ac:dyDescent="0.25">
      <c r="A478" s="1" t="s">
        <v>768</v>
      </c>
      <c r="B478" s="30">
        <v>45677.5</v>
      </c>
      <c r="C478" s="1" t="s">
        <v>599</v>
      </c>
      <c r="D478" s="1" t="s">
        <v>600</v>
      </c>
      <c r="E478" s="1" t="s">
        <v>74</v>
      </c>
      <c r="F478" s="1" t="s">
        <v>74</v>
      </c>
      <c r="G478" s="1" t="s">
        <v>139</v>
      </c>
      <c r="H478" s="1" t="s">
        <v>128</v>
      </c>
      <c r="I478" s="31">
        <v>1</v>
      </c>
      <c r="J478" s="32">
        <v>71.39</v>
      </c>
      <c r="K478" s="32">
        <v>71.39</v>
      </c>
      <c r="L478" s="32">
        <v>47.26</v>
      </c>
      <c r="M478" s="32">
        <v>24.13</v>
      </c>
      <c r="N478" s="1" t="s">
        <v>117</v>
      </c>
      <c r="O478" s="1" t="s">
        <v>78</v>
      </c>
    </row>
    <row r="479" spans="1:15" ht="18.95" customHeight="1" x14ac:dyDescent="0.25">
      <c r="A479" s="1" t="s">
        <v>769</v>
      </c>
      <c r="B479" s="30">
        <v>45677.5</v>
      </c>
      <c r="C479" s="1" t="s">
        <v>450</v>
      </c>
      <c r="D479" s="1" t="s">
        <v>451</v>
      </c>
      <c r="E479" s="1" t="s">
        <v>183</v>
      </c>
      <c r="F479" s="1" t="s">
        <v>137</v>
      </c>
      <c r="G479" s="1" t="s">
        <v>92</v>
      </c>
      <c r="H479" s="1" t="s">
        <v>93</v>
      </c>
      <c r="I479" s="31">
        <v>4</v>
      </c>
      <c r="J479" s="32">
        <v>67.819999999999993</v>
      </c>
      <c r="K479" s="32">
        <v>271.27999999999997</v>
      </c>
      <c r="L479" s="32">
        <v>195.04</v>
      </c>
      <c r="M479" s="32">
        <v>76.239999999999995</v>
      </c>
      <c r="N479" s="1" t="s">
        <v>86</v>
      </c>
      <c r="O479" s="1" t="s">
        <v>112</v>
      </c>
    </row>
    <row r="480" spans="1:15" ht="18.95" customHeight="1" x14ac:dyDescent="0.25">
      <c r="A480" s="1" t="s">
        <v>770</v>
      </c>
      <c r="B480" s="30">
        <v>45678.5</v>
      </c>
      <c r="C480" s="1" t="s">
        <v>771</v>
      </c>
      <c r="D480" s="1" t="s">
        <v>772</v>
      </c>
      <c r="E480" s="1" t="s">
        <v>136</v>
      </c>
      <c r="F480" s="1" t="s">
        <v>137</v>
      </c>
      <c r="G480" s="1" t="s">
        <v>293</v>
      </c>
      <c r="H480" s="1" t="s">
        <v>99</v>
      </c>
      <c r="I480" s="31">
        <v>1</v>
      </c>
      <c r="J480" s="32">
        <v>95.36</v>
      </c>
      <c r="K480" s="32">
        <v>95.36</v>
      </c>
      <c r="L480" s="32">
        <v>83.54</v>
      </c>
      <c r="M480" s="32">
        <v>11.82</v>
      </c>
      <c r="N480" s="1" t="s">
        <v>117</v>
      </c>
      <c r="O480" s="1" t="s">
        <v>112</v>
      </c>
    </row>
    <row r="481" spans="1:15" ht="18.95" customHeight="1" x14ac:dyDescent="0.25">
      <c r="A481" s="1" t="s">
        <v>773</v>
      </c>
      <c r="B481" s="30">
        <v>45682.5</v>
      </c>
      <c r="C481" s="1" t="s">
        <v>261</v>
      </c>
      <c r="D481" s="1" t="s">
        <v>262</v>
      </c>
      <c r="E481" s="1" t="s">
        <v>169</v>
      </c>
      <c r="F481" s="1" t="s">
        <v>170</v>
      </c>
      <c r="G481" s="1" t="s">
        <v>116</v>
      </c>
      <c r="H481" s="1" t="s">
        <v>76</v>
      </c>
      <c r="I481" s="31">
        <v>2</v>
      </c>
      <c r="J481" s="32">
        <v>15.29</v>
      </c>
      <c r="K481" s="32">
        <v>30.58</v>
      </c>
      <c r="L481" s="32">
        <v>14.16</v>
      </c>
      <c r="M481" s="32">
        <v>16.420000000000002</v>
      </c>
      <c r="N481" s="1" t="s">
        <v>117</v>
      </c>
      <c r="O481" s="1" t="s">
        <v>233</v>
      </c>
    </row>
    <row r="482" spans="1:15" ht="18.95" customHeight="1" x14ac:dyDescent="0.25">
      <c r="A482" s="1" t="s">
        <v>773</v>
      </c>
      <c r="B482" s="30">
        <v>45682.5</v>
      </c>
      <c r="C482" s="1" t="s">
        <v>261</v>
      </c>
      <c r="D482" s="1" t="s">
        <v>262</v>
      </c>
      <c r="E482" s="1" t="s">
        <v>169</v>
      </c>
      <c r="F482" s="1" t="s">
        <v>170</v>
      </c>
      <c r="G482" s="1" t="s">
        <v>151</v>
      </c>
      <c r="H482" s="1" t="s">
        <v>76</v>
      </c>
      <c r="I482" s="31">
        <v>2</v>
      </c>
      <c r="J482" s="32">
        <v>19.37</v>
      </c>
      <c r="K482" s="32">
        <v>38.74</v>
      </c>
      <c r="L482" s="32">
        <v>19.09</v>
      </c>
      <c r="M482" s="32">
        <v>19.649999999999999</v>
      </c>
      <c r="N482" s="1" t="s">
        <v>117</v>
      </c>
      <c r="O482" s="1" t="s">
        <v>233</v>
      </c>
    </row>
    <row r="483" spans="1:15" ht="18.95" customHeight="1" x14ac:dyDescent="0.25">
      <c r="A483" s="1" t="s">
        <v>773</v>
      </c>
      <c r="B483" s="30">
        <v>45682.5</v>
      </c>
      <c r="C483" s="1" t="s">
        <v>261</v>
      </c>
      <c r="D483" s="1" t="s">
        <v>262</v>
      </c>
      <c r="E483" s="1" t="s">
        <v>169</v>
      </c>
      <c r="F483" s="1" t="s">
        <v>170</v>
      </c>
      <c r="G483" s="1" t="s">
        <v>306</v>
      </c>
      <c r="H483" s="1" t="s">
        <v>76</v>
      </c>
      <c r="I483" s="31">
        <v>1</v>
      </c>
      <c r="J483" s="32">
        <v>25.49</v>
      </c>
      <c r="K483" s="32">
        <v>25.49</v>
      </c>
      <c r="L483" s="32">
        <v>13.32</v>
      </c>
      <c r="M483" s="32">
        <v>12.17</v>
      </c>
      <c r="N483" s="1" t="s">
        <v>117</v>
      </c>
      <c r="O483" s="1" t="s">
        <v>233</v>
      </c>
    </row>
    <row r="484" spans="1:15" ht="18.95" customHeight="1" x14ac:dyDescent="0.25">
      <c r="A484" s="1" t="s">
        <v>774</v>
      </c>
      <c r="B484" s="30">
        <v>45683.5</v>
      </c>
      <c r="C484" s="1" t="s">
        <v>508</v>
      </c>
      <c r="D484" s="1" t="s">
        <v>509</v>
      </c>
      <c r="E484" s="1" t="s">
        <v>150</v>
      </c>
      <c r="F484" s="1" t="s">
        <v>105</v>
      </c>
      <c r="G484" s="1" t="s">
        <v>202</v>
      </c>
      <c r="H484" s="1" t="s">
        <v>85</v>
      </c>
      <c r="I484" s="31">
        <v>1</v>
      </c>
      <c r="J484" s="32">
        <v>6.52</v>
      </c>
      <c r="K484" s="32">
        <v>6.52</v>
      </c>
      <c r="L484" s="32">
        <v>4.41</v>
      </c>
      <c r="M484" s="32">
        <v>2.11</v>
      </c>
      <c r="N484" s="1" t="s">
        <v>315</v>
      </c>
      <c r="O484" s="1" t="s">
        <v>112</v>
      </c>
    </row>
    <row r="485" spans="1:15" ht="18.95" customHeight="1" x14ac:dyDescent="0.25">
      <c r="A485" s="1" t="s">
        <v>775</v>
      </c>
      <c r="B485" s="30">
        <v>45683.5</v>
      </c>
      <c r="C485" s="1" t="s">
        <v>457</v>
      </c>
      <c r="D485" s="1" t="s">
        <v>458</v>
      </c>
      <c r="E485" s="1" t="s">
        <v>97</v>
      </c>
      <c r="F485" s="1" t="s">
        <v>91</v>
      </c>
      <c r="G485" s="1" t="s">
        <v>293</v>
      </c>
      <c r="H485" s="1" t="s">
        <v>99</v>
      </c>
      <c r="I485" s="31">
        <v>1</v>
      </c>
      <c r="J485" s="32">
        <v>112.19</v>
      </c>
      <c r="K485" s="32">
        <v>112.19</v>
      </c>
      <c r="L485" s="32">
        <v>84.89</v>
      </c>
      <c r="M485" s="32">
        <v>27.3</v>
      </c>
      <c r="N485" s="1" t="s">
        <v>111</v>
      </c>
      <c r="O485" s="1" t="s">
        <v>112</v>
      </c>
    </row>
    <row r="486" spans="1:15" ht="18.95" customHeight="1" x14ac:dyDescent="0.25">
      <c r="A486" s="1" t="s">
        <v>776</v>
      </c>
      <c r="B486" s="30">
        <v>45685.5</v>
      </c>
      <c r="C486" s="1" t="s">
        <v>267</v>
      </c>
      <c r="D486" s="1" t="s">
        <v>268</v>
      </c>
      <c r="E486" s="1" t="s">
        <v>212</v>
      </c>
      <c r="F486" s="1" t="s">
        <v>83</v>
      </c>
      <c r="G486" s="1" t="s">
        <v>75</v>
      </c>
      <c r="H486" s="1" t="s">
        <v>76</v>
      </c>
      <c r="I486" s="31">
        <v>3</v>
      </c>
      <c r="J486" s="32">
        <v>27.53</v>
      </c>
      <c r="K486" s="32">
        <v>82.59</v>
      </c>
      <c r="L486" s="32">
        <v>43.99</v>
      </c>
      <c r="M486" s="32">
        <v>38.6</v>
      </c>
      <c r="N486" s="1" t="s">
        <v>117</v>
      </c>
      <c r="O486" s="1" t="s">
        <v>78</v>
      </c>
    </row>
    <row r="487" spans="1:15" ht="18.95" customHeight="1" x14ac:dyDescent="0.25">
      <c r="A487" s="1" t="s">
        <v>776</v>
      </c>
      <c r="B487" s="30">
        <v>45685.5</v>
      </c>
      <c r="C487" s="1" t="s">
        <v>267</v>
      </c>
      <c r="D487" s="1" t="s">
        <v>268</v>
      </c>
      <c r="E487" s="1" t="s">
        <v>212</v>
      </c>
      <c r="F487" s="1" t="s">
        <v>83</v>
      </c>
      <c r="G487" s="1" t="s">
        <v>322</v>
      </c>
      <c r="H487" s="1" t="s">
        <v>128</v>
      </c>
      <c r="I487" s="31">
        <v>2</v>
      </c>
      <c r="J487" s="32">
        <v>61.19</v>
      </c>
      <c r="K487" s="32">
        <v>122.38</v>
      </c>
      <c r="L487" s="32">
        <v>83.45</v>
      </c>
      <c r="M487" s="32">
        <v>38.93</v>
      </c>
      <c r="N487" s="1" t="s">
        <v>117</v>
      </c>
      <c r="O487" s="1" t="s">
        <v>78</v>
      </c>
    </row>
    <row r="488" spans="1:15" ht="18.95" customHeight="1" x14ac:dyDescent="0.25">
      <c r="A488" s="1" t="s">
        <v>776</v>
      </c>
      <c r="B488" s="30">
        <v>45685.5</v>
      </c>
      <c r="C488" s="1" t="s">
        <v>267</v>
      </c>
      <c r="D488" s="1" t="s">
        <v>268</v>
      </c>
      <c r="E488" s="1" t="s">
        <v>212</v>
      </c>
      <c r="F488" s="1" t="s">
        <v>83</v>
      </c>
      <c r="G488" s="1" t="s">
        <v>138</v>
      </c>
      <c r="H488" s="1" t="s">
        <v>99</v>
      </c>
      <c r="I488" s="31">
        <v>1</v>
      </c>
      <c r="J488" s="32">
        <v>35.69</v>
      </c>
      <c r="K488" s="32">
        <v>35.69</v>
      </c>
      <c r="L488" s="32">
        <v>22.21</v>
      </c>
      <c r="M488" s="32">
        <v>13.48</v>
      </c>
      <c r="N488" s="1" t="s">
        <v>117</v>
      </c>
      <c r="O488" s="1" t="s">
        <v>78</v>
      </c>
    </row>
    <row r="489" spans="1:15" ht="18.95" customHeight="1" x14ac:dyDescent="0.25">
      <c r="A489" s="1" t="s">
        <v>777</v>
      </c>
      <c r="B489" s="30">
        <v>45686.5</v>
      </c>
      <c r="C489" s="1" t="s">
        <v>102</v>
      </c>
      <c r="D489" s="1" t="s">
        <v>103</v>
      </c>
      <c r="E489" s="1" t="s">
        <v>104</v>
      </c>
      <c r="F489" s="1" t="s">
        <v>105</v>
      </c>
      <c r="G489" s="1" t="s">
        <v>230</v>
      </c>
      <c r="H489" s="1" t="s">
        <v>128</v>
      </c>
      <c r="I489" s="31">
        <v>2</v>
      </c>
      <c r="J489" s="32">
        <v>45.89</v>
      </c>
      <c r="K489" s="32">
        <v>91.78</v>
      </c>
      <c r="L489" s="32">
        <v>60.31</v>
      </c>
      <c r="M489" s="32">
        <v>31.47</v>
      </c>
      <c r="N489" s="1" t="s">
        <v>86</v>
      </c>
      <c r="O489" s="1" t="s">
        <v>112</v>
      </c>
    </row>
    <row r="490" spans="1:15" ht="18.95" customHeight="1" x14ac:dyDescent="0.25">
      <c r="A490" s="1" t="s">
        <v>778</v>
      </c>
      <c r="B490" s="30">
        <v>45686.5</v>
      </c>
      <c r="C490" s="1" t="s">
        <v>353</v>
      </c>
      <c r="D490" s="1" t="s">
        <v>354</v>
      </c>
      <c r="E490" s="1" t="s">
        <v>136</v>
      </c>
      <c r="F490" s="1" t="s">
        <v>137</v>
      </c>
      <c r="G490" s="1" t="s">
        <v>75</v>
      </c>
      <c r="H490" s="1" t="s">
        <v>76</v>
      </c>
      <c r="I490" s="31">
        <v>2</v>
      </c>
      <c r="J490" s="32">
        <v>27.53</v>
      </c>
      <c r="K490" s="32">
        <v>55.06</v>
      </c>
      <c r="L490" s="32">
        <v>29.33</v>
      </c>
      <c r="M490" s="32">
        <v>25.73</v>
      </c>
      <c r="N490" s="1" t="s">
        <v>117</v>
      </c>
      <c r="O490" s="1" t="s">
        <v>78</v>
      </c>
    </row>
    <row r="491" spans="1:15" ht="18.95" customHeight="1" x14ac:dyDescent="0.25">
      <c r="A491" s="1" t="s">
        <v>779</v>
      </c>
      <c r="B491" s="30">
        <v>45688.5</v>
      </c>
      <c r="C491" s="1" t="s">
        <v>563</v>
      </c>
      <c r="D491" s="1" t="s">
        <v>564</v>
      </c>
      <c r="E491" s="1" t="s">
        <v>150</v>
      </c>
      <c r="F491" s="1" t="s">
        <v>105</v>
      </c>
      <c r="G491" s="1" t="s">
        <v>306</v>
      </c>
      <c r="H491" s="1" t="s">
        <v>76</v>
      </c>
      <c r="I491" s="31">
        <v>1</v>
      </c>
      <c r="J491" s="32">
        <v>25.49</v>
      </c>
      <c r="K491" s="32">
        <v>25.49</v>
      </c>
      <c r="L491" s="32">
        <v>13.07</v>
      </c>
      <c r="M491" s="32">
        <v>12.42</v>
      </c>
      <c r="N491" s="1" t="s">
        <v>111</v>
      </c>
      <c r="O491" s="1" t="s">
        <v>78</v>
      </c>
    </row>
    <row r="492" spans="1:15" ht="18.95" customHeight="1" x14ac:dyDescent="0.25">
      <c r="A492" s="1" t="s">
        <v>780</v>
      </c>
      <c r="B492" s="30">
        <v>45689.5</v>
      </c>
      <c r="C492" s="1" t="s">
        <v>130</v>
      </c>
      <c r="D492" s="1" t="s">
        <v>131</v>
      </c>
      <c r="E492" s="1" t="s">
        <v>82</v>
      </c>
      <c r="F492" s="1" t="s">
        <v>83</v>
      </c>
      <c r="G492" s="1" t="s">
        <v>151</v>
      </c>
      <c r="H492" s="1" t="s">
        <v>76</v>
      </c>
      <c r="I492" s="31">
        <v>1</v>
      </c>
      <c r="J492" s="32">
        <v>18.399999999999999</v>
      </c>
      <c r="K492" s="32">
        <v>18.399999999999999</v>
      </c>
      <c r="L492" s="32">
        <v>9.76</v>
      </c>
      <c r="M492" s="32">
        <v>8.64</v>
      </c>
      <c r="N492" s="1" t="s">
        <v>117</v>
      </c>
      <c r="O492" s="1" t="s">
        <v>112</v>
      </c>
    </row>
    <row r="493" spans="1:15" ht="18.95" customHeight="1" x14ac:dyDescent="0.25">
      <c r="A493" s="1" t="s">
        <v>781</v>
      </c>
      <c r="B493" s="30">
        <v>45689.5</v>
      </c>
      <c r="C493" s="1" t="s">
        <v>261</v>
      </c>
      <c r="D493" s="1" t="s">
        <v>262</v>
      </c>
      <c r="E493" s="1" t="s">
        <v>169</v>
      </c>
      <c r="F493" s="1" t="s">
        <v>170</v>
      </c>
      <c r="G493" s="1" t="s">
        <v>127</v>
      </c>
      <c r="H493" s="1" t="s">
        <v>128</v>
      </c>
      <c r="I493" s="31">
        <v>2</v>
      </c>
      <c r="J493" s="32">
        <v>25.49</v>
      </c>
      <c r="K493" s="32">
        <v>50.98</v>
      </c>
      <c r="L493" s="32">
        <v>34.020000000000003</v>
      </c>
      <c r="M493" s="32">
        <v>16.96</v>
      </c>
      <c r="N493" s="1" t="s">
        <v>86</v>
      </c>
      <c r="O493" s="1" t="s">
        <v>118</v>
      </c>
    </row>
    <row r="494" spans="1:15" ht="18.95" customHeight="1" x14ac:dyDescent="0.25">
      <c r="A494" s="1" t="s">
        <v>781</v>
      </c>
      <c r="B494" s="30">
        <v>45689.5</v>
      </c>
      <c r="C494" s="1" t="s">
        <v>261</v>
      </c>
      <c r="D494" s="1" t="s">
        <v>262</v>
      </c>
      <c r="E494" s="1" t="s">
        <v>169</v>
      </c>
      <c r="F494" s="1" t="s">
        <v>170</v>
      </c>
      <c r="G494" s="1" t="s">
        <v>179</v>
      </c>
      <c r="H494" s="1" t="s">
        <v>128</v>
      </c>
      <c r="I494" s="31">
        <v>1</v>
      </c>
      <c r="J494" s="32">
        <v>38.75</v>
      </c>
      <c r="K494" s="32">
        <v>38.75</v>
      </c>
      <c r="L494" s="32">
        <v>25.76</v>
      </c>
      <c r="M494" s="32">
        <v>12.99</v>
      </c>
      <c r="N494" s="1" t="s">
        <v>86</v>
      </c>
      <c r="O494" s="1" t="s">
        <v>118</v>
      </c>
    </row>
    <row r="495" spans="1:15" ht="18.95" customHeight="1" x14ac:dyDescent="0.25">
      <c r="A495" s="1" t="s">
        <v>782</v>
      </c>
      <c r="B495" s="30">
        <v>45690.5</v>
      </c>
      <c r="C495" s="1" t="s">
        <v>373</v>
      </c>
      <c r="D495" s="1" t="s">
        <v>374</v>
      </c>
      <c r="E495" s="1" t="s">
        <v>90</v>
      </c>
      <c r="F495" s="1" t="s">
        <v>91</v>
      </c>
      <c r="G495" s="1" t="s">
        <v>230</v>
      </c>
      <c r="H495" s="1" t="s">
        <v>128</v>
      </c>
      <c r="I495" s="31">
        <v>2</v>
      </c>
      <c r="J495" s="32">
        <v>45.89</v>
      </c>
      <c r="K495" s="32">
        <v>91.78</v>
      </c>
      <c r="L495" s="32">
        <v>58.02</v>
      </c>
      <c r="M495" s="32">
        <v>33.76</v>
      </c>
      <c r="N495" s="1" t="s">
        <v>77</v>
      </c>
      <c r="O495" s="1" t="s">
        <v>78</v>
      </c>
    </row>
    <row r="496" spans="1:15" ht="18.95" customHeight="1" x14ac:dyDescent="0.25">
      <c r="A496" s="1" t="s">
        <v>783</v>
      </c>
      <c r="B496" s="30">
        <v>45690.5</v>
      </c>
      <c r="C496" s="1" t="s">
        <v>130</v>
      </c>
      <c r="D496" s="1" t="s">
        <v>131</v>
      </c>
      <c r="E496" s="1" t="s">
        <v>82</v>
      </c>
      <c r="F496" s="1" t="s">
        <v>83</v>
      </c>
      <c r="G496" s="1" t="s">
        <v>157</v>
      </c>
      <c r="H496" s="1" t="s">
        <v>93</v>
      </c>
      <c r="I496" s="31">
        <v>1</v>
      </c>
      <c r="J496" s="32">
        <v>20.39</v>
      </c>
      <c r="K496" s="32">
        <v>20.39</v>
      </c>
      <c r="L496" s="32">
        <v>10.56</v>
      </c>
      <c r="M496" s="32">
        <v>9.83</v>
      </c>
      <c r="N496" s="1" t="s">
        <v>86</v>
      </c>
      <c r="O496" s="1" t="s">
        <v>112</v>
      </c>
    </row>
    <row r="497" spans="1:15" ht="18.95" customHeight="1" x14ac:dyDescent="0.25">
      <c r="A497" s="1" t="s">
        <v>783</v>
      </c>
      <c r="B497" s="30">
        <v>45690.5</v>
      </c>
      <c r="C497" s="1" t="s">
        <v>130</v>
      </c>
      <c r="D497" s="1" t="s">
        <v>131</v>
      </c>
      <c r="E497" s="1" t="s">
        <v>82</v>
      </c>
      <c r="F497" s="1" t="s">
        <v>83</v>
      </c>
      <c r="G497" s="1" t="s">
        <v>127</v>
      </c>
      <c r="H497" s="1" t="s">
        <v>128</v>
      </c>
      <c r="I497" s="31">
        <v>1</v>
      </c>
      <c r="J497" s="32">
        <v>22.94</v>
      </c>
      <c r="K497" s="32">
        <v>22.94</v>
      </c>
      <c r="L497" s="32">
        <v>15.79</v>
      </c>
      <c r="M497" s="32">
        <v>7.15</v>
      </c>
      <c r="N497" s="1" t="s">
        <v>86</v>
      </c>
      <c r="O497" s="1" t="s">
        <v>112</v>
      </c>
    </row>
    <row r="498" spans="1:15" ht="18.95" customHeight="1" x14ac:dyDescent="0.25">
      <c r="A498" s="1" t="s">
        <v>783</v>
      </c>
      <c r="B498" s="30">
        <v>45690.5</v>
      </c>
      <c r="C498" s="1" t="s">
        <v>130</v>
      </c>
      <c r="D498" s="1" t="s">
        <v>131</v>
      </c>
      <c r="E498" s="1" t="s">
        <v>82</v>
      </c>
      <c r="F498" s="1" t="s">
        <v>83</v>
      </c>
      <c r="G498" s="1" t="s">
        <v>110</v>
      </c>
      <c r="H498" s="1" t="s">
        <v>85</v>
      </c>
      <c r="I498" s="31">
        <v>1</v>
      </c>
      <c r="J498" s="32">
        <v>13.25</v>
      </c>
      <c r="K498" s="32">
        <v>13.25</v>
      </c>
      <c r="L498" s="32">
        <v>6.6</v>
      </c>
      <c r="M498" s="32">
        <v>6.65</v>
      </c>
      <c r="N498" s="1" t="s">
        <v>86</v>
      </c>
      <c r="O498" s="1" t="s">
        <v>112</v>
      </c>
    </row>
    <row r="499" spans="1:15" ht="18.95" customHeight="1" x14ac:dyDescent="0.25">
      <c r="A499" s="1" t="s">
        <v>784</v>
      </c>
      <c r="B499" s="30">
        <v>45692.5</v>
      </c>
      <c r="C499" s="1" t="s">
        <v>204</v>
      </c>
      <c r="D499" s="1" t="s">
        <v>205</v>
      </c>
      <c r="E499" s="1" t="s">
        <v>164</v>
      </c>
      <c r="F499" s="1" t="s">
        <v>165</v>
      </c>
      <c r="G499" s="1" t="s">
        <v>110</v>
      </c>
      <c r="H499" s="1" t="s">
        <v>85</v>
      </c>
      <c r="I499" s="31">
        <v>6</v>
      </c>
      <c r="J499" s="32">
        <v>12.59</v>
      </c>
      <c r="K499" s="32">
        <v>75.540000000000006</v>
      </c>
      <c r="L499" s="32">
        <v>37.380000000000003</v>
      </c>
      <c r="M499" s="32">
        <v>38.159999999999997</v>
      </c>
      <c r="N499" s="1" t="s">
        <v>77</v>
      </c>
      <c r="O499" s="1" t="s">
        <v>78</v>
      </c>
    </row>
    <row r="500" spans="1:15" ht="18.95" customHeight="1" x14ac:dyDescent="0.25">
      <c r="A500" s="1" t="s">
        <v>785</v>
      </c>
      <c r="B500" s="30">
        <v>45693.5</v>
      </c>
      <c r="C500" s="1" t="s">
        <v>197</v>
      </c>
      <c r="D500" s="1" t="s">
        <v>198</v>
      </c>
      <c r="E500" s="1" t="s">
        <v>136</v>
      </c>
      <c r="F500" s="1" t="s">
        <v>137</v>
      </c>
      <c r="G500" s="1" t="s">
        <v>151</v>
      </c>
      <c r="H500" s="1" t="s">
        <v>76</v>
      </c>
      <c r="I500" s="31">
        <v>1</v>
      </c>
      <c r="J500" s="32">
        <v>16.46</v>
      </c>
      <c r="K500" s="32">
        <v>16.46</v>
      </c>
      <c r="L500" s="32">
        <v>9.19</v>
      </c>
      <c r="M500" s="32">
        <v>7.27</v>
      </c>
      <c r="N500" s="1" t="s">
        <v>117</v>
      </c>
      <c r="O500" s="1" t="s">
        <v>78</v>
      </c>
    </row>
    <row r="501" spans="1:15" ht="18.95" customHeight="1" x14ac:dyDescent="0.25">
      <c r="A501" s="1" t="s">
        <v>786</v>
      </c>
      <c r="B501" s="30">
        <v>45695.5</v>
      </c>
      <c r="C501" s="1" t="s">
        <v>563</v>
      </c>
      <c r="D501" s="1" t="s">
        <v>564</v>
      </c>
      <c r="E501" s="1" t="s">
        <v>150</v>
      </c>
      <c r="F501" s="1" t="s">
        <v>105</v>
      </c>
      <c r="G501" s="1" t="s">
        <v>319</v>
      </c>
      <c r="H501" s="1" t="s">
        <v>128</v>
      </c>
      <c r="I501" s="31">
        <v>1</v>
      </c>
      <c r="J501" s="32">
        <v>53.29</v>
      </c>
      <c r="K501" s="32">
        <v>53.29</v>
      </c>
      <c r="L501" s="32">
        <v>36.42</v>
      </c>
      <c r="M501" s="32">
        <v>16.87</v>
      </c>
      <c r="N501" s="1" t="s">
        <v>77</v>
      </c>
      <c r="O501" s="1" t="s">
        <v>78</v>
      </c>
    </row>
    <row r="502" spans="1:15" ht="18.95" customHeight="1" x14ac:dyDescent="0.25">
      <c r="A502" s="1" t="s">
        <v>787</v>
      </c>
      <c r="B502" s="30">
        <v>45700.5</v>
      </c>
      <c r="C502" s="1" t="s">
        <v>467</v>
      </c>
      <c r="D502" s="1" t="s">
        <v>468</v>
      </c>
      <c r="E502" s="1" t="s">
        <v>90</v>
      </c>
      <c r="F502" s="1" t="s">
        <v>91</v>
      </c>
      <c r="G502" s="1" t="s">
        <v>151</v>
      </c>
      <c r="H502" s="1" t="s">
        <v>76</v>
      </c>
      <c r="I502" s="31">
        <v>1</v>
      </c>
      <c r="J502" s="32">
        <v>19.37</v>
      </c>
      <c r="K502" s="32">
        <v>19.37</v>
      </c>
      <c r="L502" s="32">
        <v>9.35</v>
      </c>
      <c r="M502" s="32">
        <v>10.02</v>
      </c>
      <c r="N502" s="1" t="s">
        <v>117</v>
      </c>
      <c r="O502" s="1" t="s">
        <v>78</v>
      </c>
    </row>
    <row r="503" spans="1:15" ht="18.95" customHeight="1" x14ac:dyDescent="0.25">
      <c r="A503" s="1" t="s">
        <v>788</v>
      </c>
      <c r="B503" s="30">
        <v>45700.5</v>
      </c>
      <c r="C503" s="1" t="s">
        <v>335</v>
      </c>
      <c r="D503" s="1" t="s">
        <v>336</v>
      </c>
      <c r="E503" s="1" t="s">
        <v>90</v>
      </c>
      <c r="F503" s="1" t="s">
        <v>91</v>
      </c>
      <c r="G503" s="1" t="s">
        <v>75</v>
      </c>
      <c r="H503" s="1" t="s">
        <v>76</v>
      </c>
      <c r="I503" s="31">
        <v>3</v>
      </c>
      <c r="J503" s="32">
        <v>23.4</v>
      </c>
      <c r="K503" s="32">
        <v>70.2</v>
      </c>
      <c r="L503" s="32">
        <v>45.06</v>
      </c>
      <c r="M503" s="32">
        <v>25.14</v>
      </c>
      <c r="N503" s="1" t="s">
        <v>315</v>
      </c>
      <c r="O503" s="1" t="s">
        <v>112</v>
      </c>
    </row>
    <row r="504" spans="1:15" ht="18.95" customHeight="1" x14ac:dyDescent="0.25">
      <c r="A504" s="1" t="s">
        <v>789</v>
      </c>
      <c r="B504" s="30">
        <v>45700.5</v>
      </c>
      <c r="C504" s="1" t="s">
        <v>633</v>
      </c>
      <c r="D504" s="1" t="s">
        <v>634</v>
      </c>
      <c r="E504" s="1" t="s">
        <v>193</v>
      </c>
      <c r="F504" s="1" t="s">
        <v>194</v>
      </c>
      <c r="G504" s="1" t="s">
        <v>106</v>
      </c>
      <c r="H504" s="1" t="s">
        <v>99</v>
      </c>
      <c r="I504" s="31">
        <v>1</v>
      </c>
      <c r="J504" s="32">
        <v>77.510000000000005</v>
      </c>
      <c r="K504" s="32">
        <v>77.510000000000005</v>
      </c>
      <c r="L504" s="32">
        <v>58.16</v>
      </c>
      <c r="M504" s="32">
        <v>19.350000000000001</v>
      </c>
      <c r="N504" s="1" t="s">
        <v>86</v>
      </c>
      <c r="O504" s="1" t="s">
        <v>112</v>
      </c>
    </row>
    <row r="505" spans="1:15" ht="18.95" customHeight="1" x14ac:dyDescent="0.25">
      <c r="A505" s="1" t="s">
        <v>790</v>
      </c>
      <c r="B505" s="30">
        <v>45703.5</v>
      </c>
      <c r="C505" s="1" t="s">
        <v>521</v>
      </c>
      <c r="D505" s="1" t="s">
        <v>522</v>
      </c>
      <c r="E505" s="1" t="s">
        <v>74</v>
      </c>
      <c r="F505" s="1" t="s">
        <v>74</v>
      </c>
      <c r="G505" s="1" t="s">
        <v>202</v>
      </c>
      <c r="H505" s="1" t="s">
        <v>85</v>
      </c>
      <c r="I505" s="31">
        <v>1</v>
      </c>
      <c r="J505" s="32">
        <v>7.74</v>
      </c>
      <c r="K505" s="32">
        <v>7.74</v>
      </c>
      <c r="L505" s="32">
        <v>4.51</v>
      </c>
      <c r="M505" s="32">
        <v>3.23</v>
      </c>
      <c r="N505" s="1" t="s">
        <v>117</v>
      </c>
      <c r="O505" s="1" t="s">
        <v>112</v>
      </c>
    </row>
    <row r="506" spans="1:15" ht="18.95" customHeight="1" x14ac:dyDescent="0.25">
      <c r="A506" s="1" t="s">
        <v>790</v>
      </c>
      <c r="B506" s="30">
        <v>45703.5</v>
      </c>
      <c r="C506" s="1" t="s">
        <v>521</v>
      </c>
      <c r="D506" s="1" t="s">
        <v>522</v>
      </c>
      <c r="E506" s="1" t="s">
        <v>74</v>
      </c>
      <c r="F506" s="1" t="s">
        <v>74</v>
      </c>
      <c r="G506" s="1" t="s">
        <v>116</v>
      </c>
      <c r="H506" s="1" t="s">
        <v>76</v>
      </c>
      <c r="I506" s="31">
        <v>1</v>
      </c>
      <c r="J506" s="32">
        <v>13.76</v>
      </c>
      <c r="K506" s="32">
        <v>13.76</v>
      </c>
      <c r="L506" s="32">
        <v>7.19</v>
      </c>
      <c r="M506" s="32">
        <v>6.57</v>
      </c>
      <c r="N506" s="1" t="s">
        <v>117</v>
      </c>
      <c r="O506" s="1" t="s">
        <v>112</v>
      </c>
    </row>
    <row r="507" spans="1:15" ht="18.95" customHeight="1" x14ac:dyDescent="0.25">
      <c r="A507" s="1" t="s">
        <v>791</v>
      </c>
      <c r="B507" s="30">
        <v>45705.5</v>
      </c>
      <c r="C507" s="1" t="s">
        <v>563</v>
      </c>
      <c r="D507" s="1" t="s">
        <v>564</v>
      </c>
      <c r="E507" s="1" t="s">
        <v>150</v>
      </c>
      <c r="F507" s="1" t="s">
        <v>105</v>
      </c>
      <c r="G507" s="1" t="s">
        <v>127</v>
      </c>
      <c r="H507" s="1" t="s">
        <v>128</v>
      </c>
      <c r="I507" s="31">
        <v>1</v>
      </c>
      <c r="J507" s="32">
        <v>25.49</v>
      </c>
      <c r="K507" s="32">
        <v>25.49</v>
      </c>
      <c r="L507" s="32">
        <v>15.99</v>
      </c>
      <c r="M507" s="32">
        <v>9.5</v>
      </c>
      <c r="N507" s="1" t="s">
        <v>117</v>
      </c>
      <c r="O507" s="1" t="s">
        <v>112</v>
      </c>
    </row>
    <row r="508" spans="1:15" ht="18.95" customHeight="1" x14ac:dyDescent="0.25">
      <c r="A508" s="1" t="s">
        <v>792</v>
      </c>
      <c r="B508" s="30">
        <v>45705.5</v>
      </c>
      <c r="C508" s="1" t="s">
        <v>102</v>
      </c>
      <c r="D508" s="1" t="s">
        <v>103</v>
      </c>
      <c r="E508" s="1" t="s">
        <v>104</v>
      </c>
      <c r="F508" s="1" t="s">
        <v>105</v>
      </c>
      <c r="G508" s="1" t="s">
        <v>293</v>
      </c>
      <c r="H508" s="1" t="s">
        <v>99</v>
      </c>
      <c r="I508" s="31">
        <v>1</v>
      </c>
      <c r="J508" s="32">
        <v>106.58</v>
      </c>
      <c r="K508" s="32">
        <v>106.58</v>
      </c>
      <c r="L508" s="32">
        <v>84.44</v>
      </c>
      <c r="M508" s="32">
        <v>22.14</v>
      </c>
      <c r="N508" s="1" t="s">
        <v>86</v>
      </c>
      <c r="O508" s="1" t="s">
        <v>112</v>
      </c>
    </row>
    <row r="509" spans="1:15" ht="18.95" customHeight="1" x14ac:dyDescent="0.25">
      <c r="A509" s="1" t="s">
        <v>793</v>
      </c>
      <c r="B509" s="30">
        <v>45707.5</v>
      </c>
      <c r="C509" s="1" t="s">
        <v>380</v>
      </c>
      <c r="D509" s="1" t="s">
        <v>381</v>
      </c>
      <c r="E509" s="1" t="s">
        <v>183</v>
      </c>
      <c r="F509" s="1" t="s">
        <v>137</v>
      </c>
      <c r="G509" s="1" t="s">
        <v>188</v>
      </c>
      <c r="H509" s="1" t="s">
        <v>76</v>
      </c>
      <c r="I509" s="31">
        <v>1</v>
      </c>
      <c r="J509" s="32">
        <v>86.69</v>
      </c>
      <c r="K509" s="32">
        <v>86.69</v>
      </c>
      <c r="L509" s="32">
        <v>63.01</v>
      </c>
      <c r="M509" s="32">
        <v>23.68</v>
      </c>
      <c r="N509" s="1" t="s">
        <v>117</v>
      </c>
      <c r="O509" s="1" t="s">
        <v>112</v>
      </c>
    </row>
    <row r="510" spans="1:15" ht="18.95" customHeight="1" x14ac:dyDescent="0.25">
      <c r="A510" s="1" t="s">
        <v>794</v>
      </c>
      <c r="B510" s="30">
        <v>45707.5</v>
      </c>
      <c r="C510" s="1" t="s">
        <v>353</v>
      </c>
      <c r="D510" s="1" t="s">
        <v>354</v>
      </c>
      <c r="E510" s="1" t="s">
        <v>136</v>
      </c>
      <c r="F510" s="1" t="s">
        <v>137</v>
      </c>
      <c r="G510" s="1" t="s">
        <v>106</v>
      </c>
      <c r="H510" s="1" t="s">
        <v>99</v>
      </c>
      <c r="I510" s="31">
        <v>1</v>
      </c>
      <c r="J510" s="32">
        <v>81.59</v>
      </c>
      <c r="K510" s="32">
        <v>81.59</v>
      </c>
      <c r="L510" s="32">
        <v>56.45</v>
      </c>
      <c r="M510" s="32">
        <v>25.14</v>
      </c>
      <c r="N510" s="1" t="s">
        <v>86</v>
      </c>
      <c r="O510" s="1" t="s">
        <v>78</v>
      </c>
    </row>
    <row r="511" spans="1:15" ht="18.95" customHeight="1" x14ac:dyDescent="0.25">
      <c r="A511" s="1" t="s">
        <v>794</v>
      </c>
      <c r="B511" s="30">
        <v>45707.5</v>
      </c>
      <c r="C511" s="1" t="s">
        <v>353</v>
      </c>
      <c r="D511" s="1" t="s">
        <v>354</v>
      </c>
      <c r="E511" s="1" t="s">
        <v>136</v>
      </c>
      <c r="F511" s="1" t="s">
        <v>137</v>
      </c>
      <c r="G511" s="1" t="s">
        <v>151</v>
      </c>
      <c r="H511" s="1" t="s">
        <v>76</v>
      </c>
      <c r="I511" s="31">
        <v>3</v>
      </c>
      <c r="J511" s="32">
        <v>18.399999999999999</v>
      </c>
      <c r="K511" s="32">
        <v>55.2</v>
      </c>
      <c r="L511" s="32">
        <v>27.9</v>
      </c>
      <c r="M511" s="32">
        <v>27.3</v>
      </c>
      <c r="N511" s="1" t="s">
        <v>86</v>
      </c>
      <c r="O511" s="1" t="s">
        <v>78</v>
      </c>
    </row>
    <row r="512" spans="1:15" ht="18.95" customHeight="1" x14ac:dyDescent="0.25">
      <c r="A512" s="1" t="s">
        <v>795</v>
      </c>
      <c r="B512" s="30">
        <v>45710.5</v>
      </c>
      <c r="C512" s="1" t="s">
        <v>296</v>
      </c>
      <c r="D512" s="1" t="s">
        <v>297</v>
      </c>
      <c r="E512" s="1" t="s">
        <v>174</v>
      </c>
      <c r="F512" s="1" t="s">
        <v>175</v>
      </c>
      <c r="G512" s="1" t="s">
        <v>138</v>
      </c>
      <c r="H512" s="1" t="s">
        <v>99</v>
      </c>
      <c r="I512" s="31">
        <v>1</v>
      </c>
      <c r="J512" s="32">
        <v>35.69</v>
      </c>
      <c r="K512" s="32">
        <v>35.69</v>
      </c>
      <c r="L512" s="32">
        <v>22.21</v>
      </c>
      <c r="M512" s="32">
        <v>13.48</v>
      </c>
      <c r="N512" s="1" t="s">
        <v>111</v>
      </c>
      <c r="O512" s="1" t="s">
        <v>78</v>
      </c>
    </row>
    <row r="513" spans="1:15" ht="18.95" customHeight="1" x14ac:dyDescent="0.25">
      <c r="A513" s="1" t="s">
        <v>796</v>
      </c>
      <c r="B513" s="30">
        <v>45711.5</v>
      </c>
      <c r="C513" s="1" t="s">
        <v>658</v>
      </c>
      <c r="D513" s="1" t="s">
        <v>659</v>
      </c>
      <c r="E513" s="1" t="s">
        <v>90</v>
      </c>
      <c r="F513" s="1" t="s">
        <v>91</v>
      </c>
      <c r="G513" s="1" t="s">
        <v>202</v>
      </c>
      <c r="H513" s="1" t="s">
        <v>85</v>
      </c>
      <c r="I513" s="31">
        <v>2</v>
      </c>
      <c r="J513" s="32">
        <v>8.15</v>
      </c>
      <c r="K513" s="32">
        <v>16.3</v>
      </c>
      <c r="L513" s="32">
        <v>9.09</v>
      </c>
      <c r="M513" s="32">
        <v>7.21</v>
      </c>
      <c r="N513" s="1" t="s">
        <v>117</v>
      </c>
      <c r="O513" s="1" t="s">
        <v>112</v>
      </c>
    </row>
    <row r="514" spans="1:15" ht="18.95" customHeight="1" x14ac:dyDescent="0.25">
      <c r="A514" s="1" t="s">
        <v>796</v>
      </c>
      <c r="B514" s="30">
        <v>45711.5</v>
      </c>
      <c r="C514" s="1" t="s">
        <v>658</v>
      </c>
      <c r="D514" s="1" t="s">
        <v>659</v>
      </c>
      <c r="E514" s="1" t="s">
        <v>90</v>
      </c>
      <c r="F514" s="1" t="s">
        <v>91</v>
      </c>
      <c r="G514" s="1" t="s">
        <v>84</v>
      </c>
      <c r="H514" s="1" t="s">
        <v>85</v>
      </c>
      <c r="I514" s="31">
        <v>1</v>
      </c>
      <c r="J514" s="32">
        <v>7.79</v>
      </c>
      <c r="K514" s="32">
        <v>7.79</v>
      </c>
      <c r="L514" s="32">
        <v>4.18</v>
      </c>
      <c r="M514" s="32">
        <v>3.61</v>
      </c>
      <c r="N514" s="1" t="s">
        <v>117</v>
      </c>
      <c r="O514" s="1" t="s">
        <v>112</v>
      </c>
    </row>
    <row r="515" spans="1:15" ht="18.95" customHeight="1" x14ac:dyDescent="0.25">
      <c r="A515" s="1" t="s">
        <v>797</v>
      </c>
      <c r="B515" s="30">
        <v>45712.5</v>
      </c>
      <c r="C515" s="1" t="s">
        <v>130</v>
      </c>
      <c r="D515" s="1" t="s">
        <v>131</v>
      </c>
      <c r="E515" s="1" t="s">
        <v>82</v>
      </c>
      <c r="F515" s="1" t="s">
        <v>83</v>
      </c>
      <c r="G515" s="1" t="s">
        <v>110</v>
      </c>
      <c r="H515" s="1" t="s">
        <v>85</v>
      </c>
      <c r="I515" s="31">
        <v>1</v>
      </c>
      <c r="J515" s="32">
        <v>11.92</v>
      </c>
      <c r="K515" s="32">
        <v>11.92</v>
      </c>
      <c r="L515" s="32">
        <v>6.49</v>
      </c>
      <c r="M515" s="32">
        <v>5.43</v>
      </c>
      <c r="N515" s="1" t="s">
        <v>315</v>
      </c>
      <c r="O515" s="1" t="s">
        <v>112</v>
      </c>
    </row>
    <row r="516" spans="1:15" ht="18.95" customHeight="1" x14ac:dyDescent="0.25">
      <c r="A516" s="1" t="s">
        <v>798</v>
      </c>
      <c r="B516" s="30">
        <v>45713.5</v>
      </c>
      <c r="C516" s="1" t="s">
        <v>389</v>
      </c>
      <c r="D516" s="1" t="s">
        <v>390</v>
      </c>
      <c r="E516" s="1" t="s">
        <v>391</v>
      </c>
      <c r="F516" s="1" t="s">
        <v>170</v>
      </c>
      <c r="G516" s="1" t="s">
        <v>157</v>
      </c>
      <c r="H516" s="1" t="s">
        <v>93</v>
      </c>
      <c r="I516" s="31">
        <v>1</v>
      </c>
      <c r="J516" s="32">
        <v>20.39</v>
      </c>
      <c r="K516" s="32">
        <v>20.39</v>
      </c>
      <c r="L516" s="32">
        <v>10.56</v>
      </c>
      <c r="M516" s="32">
        <v>9.83</v>
      </c>
      <c r="N516" s="1" t="s">
        <v>86</v>
      </c>
      <c r="O516" s="1" t="s">
        <v>112</v>
      </c>
    </row>
    <row r="517" spans="1:15" ht="18.95" customHeight="1" x14ac:dyDescent="0.25">
      <c r="A517" s="1" t="s">
        <v>799</v>
      </c>
      <c r="B517" s="30">
        <v>45714.5</v>
      </c>
      <c r="C517" s="1" t="s">
        <v>270</v>
      </c>
      <c r="D517" s="1" t="s">
        <v>271</v>
      </c>
      <c r="E517" s="1" t="s">
        <v>212</v>
      </c>
      <c r="F517" s="1" t="s">
        <v>83</v>
      </c>
      <c r="G517" s="1" t="s">
        <v>84</v>
      </c>
      <c r="H517" s="1" t="s">
        <v>85</v>
      </c>
      <c r="I517" s="31">
        <v>1</v>
      </c>
      <c r="J517" s="32">
        <v>9.17</v>
      </c>
      <c r="K517" s="32">
        <v>9.17</v>
      </c>
      <c r="L517" s="32">
        <v>4.0599999999999996</v>
      </c>
      <c r="M517" s="32">
        <v>5.1100000000000003</v>
      </c>
      <c r="N517" s="1" t="s">
        <v>117</v>
      </c>
      <c r="O517" s="1" t="s">
        <v>78</v>
      </c>
    </row>
    <row r="518" spans="1:15" ht="18.95" customHeight="1" x14ac:dyDescent="0.25">
      <c r="A518" s="1" t="s">
        <v>799</v>
      </c>
      <c r="B518" s="30">
        <v>45714.5</v>
      </c>
      <c r="C518" s="1" t="s">
        <v>270</v>
      </c>
      <c r="D518" s="1" t="s">
        <v>271</v>
      </c>
      <c r="E518" s="1" t="s">
        <v>212</v>
      </c>
      <c r="F518" s="1" t="s">
        <v>83</v>
      </c>
      <c r="G518" s="1" t="s">
        <v>110</v>
      </c>
      <c r="H518" s="1" t="s">
        <v>85</v>
      </c>
      <c r="I518" s="31">
        <v>1</v>
      </c>
      <c r="J518" s="32">
        <v>11.92</v>
      </c>
      <c r="K518" s="32">
        <v>11.92</v>
      </c>
      <c r="L518" s="32">
        <v>6.19</v>
      </c>
      <c r="M518" s="32">
        <v>5.73</v>
      </c>
      <c r="N518" s="1" t="s">
        <v>117</v>
      </c>
      <c r="O518" s="1" t="s">
        <v>78</v>
      </c>
    </row>
    <row r="519" spans="1:15" ht="18.95" customHeight="1" x14ac:dyDescent="0.25">
      <c r="A519" s="1" t="s">
        <v>800</v>
      </c>
      <c r="B519" s="30">
        <v>45714.5</v>
      </c>
      <c r="C519" s="1" t="s">
        <v>141</v>
      </c>
      <c r="D519" s="1" t="s">
        <v>142</v>
      </c>
      <c r="E519" s="1" t="s">
        <v>82</v>
      </c>
      <c r="F519" s="1" t="s">
        <v>83</v>
      </c>
      <c r="G519" s="1" t="s">
        <v>319</v>
      </c>
      <c r="H519" s="1" t="s">
        <v>128</v>
      </c>
      <c r="I519" s="31">
        <v>1</v>
      </c>
      <c r="J519" s="32">
        <v>56.09</v>
      </c>
      <c r="K519" s="32">
        <v>56.09</v>
      </c>
      <c r="L519" s="32">
        <v>36.57</v>
      </c>
      <c r="M519" s="32">
        <v>19.52</v>
      </c>
      <c r="N519" s="1" t="s">
        <v>86</v>
      </c>
      <c r="O519" s="1" t="s">
        <v>78</v>
      </c>
    </row>
    <row r="520" spans="1:15" ht="18.95" customHeight="1" x14ac:dyDescent="0.25">
      <c r="A520" s="1" t="s">
        <v>800</v>
      </c>
      <c r="B520" s="30">
        <v>45714.5</v>
      </c>
      <c r="C520" s="1" t="s">
        <v>141</v>
      </c>
      <c r="D520" s="1" t="s">
        <v>142</v>
      </c>
      <c r="E520" s="1" t="s">
        <v>82</v>
      </c>
      <c r="F520" s="1" t="s">
        <v>83</v>
      </c>
      <c r="G520" s="1" t="s">
        <v>84</v>
      </c>
      <c r="H520" s="1" t="s">
        <v>85</v>
      </c>
      <c r="I520" s="31">
        <v>1</v>
      </c>
      <c r="J520" s="32">
        <v>8.7100000000000009</v>
      </c>
      <c r="K520" s="32">
        <v>8.7100000000000009</v>
      </c>
      <c r="L520" s="32">
        <v>4.04</v>
      </c>
      <c r="M520" s="32">
        <v>4.67</v>
      </c>
      <c r="N520" s="1" t="s">
        <v>86</v>
      </c>
      <c r="O520" s="1" t="s">
        <v>78</v>
      </c>
    </row>
    <row r="521" spans="1:15" ht="18.95" customHeight="1" x14ac:dyDescent="0.25">
      <c r="A521" s="1" t="s">
        <v>801</v>
      </c>
      <c r="B521" s="30">
        <v>45715.5</v>
      </c>
      <c r="C521" s="1" t="s">
        <v>571</v>
      </c>
      <c r="D521" s="1" t="s">
        <v>572</v>
      </c>
      <c r="E521" s="1" t="s">
        <v>174</v>
      </c>
      <c r="F521" s="1" t="s">
        <v>175</v>
      </c>
      <c r="G521" s="1" t="s">
        <v>84</v>
      </c>
      <c r="H521" s="1" t="s">
        <v>85</v>
      </c>
      <c r="I521" s="31">
        <v>3</v>
      </c>
      <c r="J521" s="32">
        <v>8.7100000000000009</v>
      </c>
      <c r="K521" s="32">
        <v>26.13</v>
      </c>
      <c r="L521" s="32">
        <v>12.11</v>
      </c>
      <c r="M521" s="32">
        <v>14.02</v>
      </c>
      <c r="N521" s="1" t="s">
        <v>111</v>
      </c>
      <c r="O521" s="1" t="s">
        <v>78</v>
      </c>
    </row>
    <row r="522" spans="1:15" ht="18.95" customHeight="1" x14ac:dyDescent="0.25">
      <c r="A522" s="1" t="s">
        <v>802</v>
      </c>
      <c r="B522" s="30">
        <v>45715.5</v>
      </c>
      <c r="C522" s="1" t="s">
        <v>560</v>
      </c>
      <c r="D522" s="1" t="s">
        <v>561</v>
      </c>
      <c r="E522" s="1" t="s">
        <v>74</v>
      </c>
      <c r="F522" s="1" t="s">
        <v>74</v>
      </c>
      <c r="G522" s="1" t="s">
        <v>155</v>
      </c>
      <c r="H522" s="1" t="s">
        <v>93</v>
      </c>
      <c r="I522" s="31">
        <v>3</v>
      </c>
      <c r="J522" s="32">
        <v>28.55</v>
      </c>
      <c r="K522" s="32">
        <v>85.65</v>
      </c>
      <c r="L522" s="32">
        <v>43.92</v>
      </c>
      <c r="M522" s="32">
        <v>41.73</v>
      </c>
      <c r="N522" s="1" t="s">
        <v>117</v>
      </c>
      <c r="O522" s="1" t="s">
        <v>233</v>
      </c>
    </row>
    <row r="523" spans="1:15" ht="18.95" customHeight="1" x14ac:dyDescent="0.25">
      <c r="A523" s="1" t="s">
        <v>802</v>
      </c>
      <c r="B523" s="30">
        <v>45715.5</v>
      </c>
      <c r="C523" s="1" t="s">
        <v>560</v>
      </c>
      <c r="D523" s="1" t="s">
        <v>561</v>
      </c>
      <c r="E523" s="1" t="s">
        <v>74</v>
      </c>
      <c r="F523" s="1" t="s">
        <v>74</v>
      </c>
      <c r="G523" s="1" t="s">
        <v>189</v>
      </c>
      <c r="H523" s="1" t="s">
        <v>93</v>
      </c>
      <c r="I523" s="31">
        <v>1</v>
      </c>
      <c r="J523" s="32">
        <v>45.89</v>
      </c>
      <c r="K523" s="32">
        <v>45.89</v>
      </c>
      <c r="L523" s="32">
        <v>27.64</v>
      </c>
      <c r="M523" s="32">
        <v>18.25</v>
      </c>
      <c r="N523" s="1" t="s">
        <v>117</v>
      </c>
      <c r="O523" s="1" t="s">
        <v>233</v>
      </c>
    </row>
    <row r="524" spans="1:15" ht="18.95" customHeight="1" x14ac:dyDescent="0.25">
      <c r="A524" s="1" t="s">
        <v>803</v>
      </c>
      <c r="B524" s="30">
        <v>45716.5</v>
      </c>
      <c r="C524" s="1" t="s">
        <v>554</v>
      </c>
      <c r="D524" s="1" t="s">
        <v>555</v>
      </c>
      <c r="E524" s="1" t="s">
        <v>212</v>
      </c>
      <c r="F524" s="1" t="s">
        <v>83</v>
      </c>
      <c r="G524" s="1" t="s">
        <v>259</v>
      </c>
      <c r="H524" s="1" t="s">
        <v>85</v>
      </c>
      <c r="I524" s="31">
        <v>1</v>
      </c>
      <c r="J524" s="32">
        <v>163.19</v>
      </c>
      <c r="K524" s="32">
        <v>163.19</v>
      </c>
      <c r="L524" s="32">
        <v>159.19</v>
      </c>
      <c r="M524" s="32">
        <v>4</v>
      </c>
      <c r="N524" s="1" t="s">
        <v>117</v>
      </c>
      <c r="O524" s="1" t="s">
        <v>78</v>
      </c>
    </row>
    <row r="525" spans="1:15" ht="18.95" customHeight="1" x14ac:dyDescent="0.25">
      <c r="A525" s="1" t="s">
        <v>804</v>
      </c>
      <c r="B525" s="30">
        <v>45717.5</v>
      </c>
      <c r="C525" s="1" t="s">
        <v>805</v>
      </c>
      <c r="D525" s="1" t="s">
        <v>806</v>
      </c>
      <c r="E525" s="1" t="s">
        <v>82</v>
      </c>
      <c r="F525" s="1" t="s">
        <v>83</v>
      </c>
      <c r="G525" s="1" t="s">
        <v>202</v>
      </c>
      <c r="H525" s="1" t="s">
        <v>85</v>
      </c>
      <c r="I525" s="31">
        <v>3</v>
      </c>
      <c r="J525" s="32">
        <v>8.15</v>
      </c>
      <c r="K525" s="32">
        <v>24.45</v>
      </c>
      <c r="L525" s="32">
        <v>14.61</v>
      </c>
      <c r="M525" s="32">
        <v>9.84</v>
      </c>
      <c r="N525" s="1" t="s">
        <v>117</v>
      </c>
      <c r="O525" s="1" t="s">
        <v>118</v>
      </c>
    </row>
    <row r="526" spans="1:15" ht="18.95" customHeight="1" x14ac:dyDescent="0.25">
      <c r="A526" s="1" t="s">
        <v>807</v>
      </c>
      <c r="B526" s="30">
        <v>45717.5</v>
      </c>
      <c r="C526" s="1" t="s">
        <v>560</v>
      </c>
      <c r="D526" s="1" t="s">
        <v>561</v>
      </c>
      <c r="E526" s="1" t="s">
        <v>74</v>
      </c>
      <c r="F526" s="1" t="s">
        <v>74</v>
      </c>
      <c r="G526" s="1" t="s">
        <v>75</v>
      </c>
      <c r="H526" s="1" t="s">
        <v>76</v>
      </c>
      <c r="I526" s="31">
        <v>1</v>
      </c>
      <c r="J526" s="32">
        <v>27.53</v>
      </c>
      <c r="K526" s="32">
        <v>27.53</v>
      </c>
      <c r="L526" s="32">
        <v>14.94</v>
      </c>
      <c r="M526" s="32">
        <v>12.59</v>
      </c>
      <c r="N526" s="1" t="s">
        <v>117</v>
      </c>
      <c r="O526" s="1" t="s">
        <v>233</v>
      </c>
    </row>
    <row r="527" spans="1:15" ht="18.95" customHeight="1" x14ac:dyDescent="0.25">
      <c r="A527" s="1" t="s">
        <v>808</v>
      </c>
      <c r="B527" s="30">
        <v>45719.5</v>
      </c>
      <c r="C527" s="1" t="s">
        <v>809</v>
      </c>
      <c r="D527" s="1" t="s">
        <v>810</v>
      </c>
      <c r="E527" s="1" t="s">
        <v>90</v>
      </c>
      <c r="F527" s="1" t="s">
        <v>91</v>
      </c>
      <c r="G527" s="1" t="s">
        <v>106</v>
      </c>
      <c r="H527" s="1" t="s">
        <v>99</v>
      </c>
      <c r="I527" s="31">
        <v>2</v>
      </c>
      <c r="J527" s="32">
        <v>81.59</v>
      </c>
      <c r="K527" s="32">
        <v>163.18</v>
      </c>
      <c r="L527" s="32">
        <v>112.9</v>
      </c>
      <c r="M527" s="32">
        <v>50.28</v>
      </c>
      <c r="N527" s="1" t="s">
        <v>86</v>
      </c>
      <c r="O527" s="1" t="s">
        <v>78</v>
      </c>
    </row>
    <row r="528" spans="1:15" ht="18.95" customHeight="1" x14ac:dyDescent="0.25">
      <c r="A528" s="1" t="s">
        <v>811</v>
      </c>
      <c r="B528" s="30">
        <v>45720.5</v>
      </c>
      <c r="C528" s="1" t="s">
        <v>479</v>
      </c>
      <c r="D528" s="1" t="s">
        <v>480</v>
      </c>
      <c r="E528" s="1" t="s">
        <v>74</v>
      </c>
      <c r="F528" s="1" t="s">
        <v>74</v>
      </c>
      <c r="G528" s="1" t="s">
        <v>189</v>
      </c>
      <c r="H528" s="1" t="s">
        <v>93</v>
      </c>
      <c r="I528" s="31">
        <v>2</v>
      </c>
      <c r="J528" s="32">
        <v>41.3</v>
      </c>
      <c r="K528" s="32">
        <v>82.6</v>
      </c>
      <c r="L528" s="32">
        <v>53.86</v>
      </c>
      <c r="M528" s="32">
        <v>28.74</v>
      </c>
      <c r="N528" s="1" t="s">
        <v>117</v>
      </c>
      <c r="O528" s="1" t="s">
        <v>78</v>
      </c>
    </row>
    <row r="529" spans="1:15" ht="18.95" customHeight="1" x14ac:dyDescent="0.25">
      <c r="A529" s="1" t="s">
        <v>812</v>
      </c>
      <c r="B529" s="30">
        <v>45720.5</v>
      </c>
      <c r="C529" s="1" t="s">
        <v>813</v>
      </c>
      <c r="D529" s="1" t="s">
        <v>814</v>
      </c>
      <c r="E529" s="1" t="s">
        <v>74</v>
      </c>
      <c r="F529" s="1" t="s">
        <v>74</v>
      </c>
      <c r="G529" s="1" t="s">
        <v>306</v>
      </c>
      <c r="H529" s="1" t="s">
        <v>76</v>
      </c>
      <c r="I529" s="31">
        <v>2</v>
      </c>
      <c r="J529" s="32">
        <v>25.49</v>
      </c>
      <c r="K529" s="32">
        <v>50.98</v>
      </c>
      <c r="L529" s="32">
        <v>26.14</v>
      </c>
      <c r="M529" s="32">
        <v>24.84</v>
      </c>
      <c r="N529" s="1" t="s">
        <v>86</v>
      </c>
      <c r="O529" s="1" t="s">
        <v>78</v>
      </c>
    </row>
    <row r="530" spans="1:15" ht="18.95" customHeight="1" x14ac:dyDescent="0.25">
      <c r="A530" s="1" t="s">
        <v>812</v>
      </c>
      <c r="B530" s="30">
        <v>45720.5</v>
      </c>
      <c r="C530" s="1" t="s">
        <v>813</v>
      </c>
      <c r="D530" s="1" t="s">
        <v>814</v>
      </c>
      <c r="E530" s="1" t="s">
        <v>74</v>
      </c>
      <c r="F530" s="1" t="s">
        <v>74</v>
      </c>
      <c r="G530" s="1" t="s">
        <v>179</v>
      </c>
      <c r="H530" s="1" t="s">
        <v>128</v>
      </c>
      <c r="I530" s="31">
        <v>1</v>
      </c>
      <c r="J530" s="32">
        <v>38.75</v>
      </c>
      <c r="K530" s="32">
        <v>38.75</v>
      </c>
      <c r="L530" s="32">
        <v>23.24</v>
      </c>
      <c r="M530" s="32">
        <v>15.51</v>
      </c>
      <c r="N530" s="1" t="s">
        <v>86</v>
      </c>
      <c r="O530" s="1" t="s">
        <v>78</v>
      </c>
    </row>
    <row r="531" spans="1:15" ht="18.95" customHeight="1" x14ac:dyDescent="0.25">
      <c r="A531" s="1" t="s">
        <v>815</v>
      </c>
      <c r="B531" s="30">
        <v>45723.5</v>
      </c>
      <c r="C531" s="1" t="s">
        <v>816</v>
      </c>
      <c r="D531" s="1" t="s">
        <v>817</v>
      </c>
      <c r="E531" s="1" t="s">
        <v>104</v>
      </c>
      <c r="F531" s="1" t="s">
        <v>105</v>
      </c>
      <c r="G531" s="1" t="s">
        <v>195</v>
      </c>
      <c r="H531" s="1" t="s">
        <v>128</v>
      </c>
      <c r="I531" s="31">
        <v>2</v>
      </c>
      <c r="J531" s="32">
        <v>142.79</v>
      </c>
      <c r="K531" s="32">
        <v>285.58</v>
      </c>
      <c r="L531" s="32">
        <v>236.04</v>
      </c>
      <c r="M531" s="32">
        <v>49.54</v>
      </c>
      <c r="N531" s="1" t="s">
        <v>77</v>
      </c>
      <c r="O531" s="1" t="s">
        <v>118</v>
      </c>
    </row>
    <row r="532" spans="1:15" ht="18.95" customHeight="1" x14ac:dyDescent="0.25">
      <c r="A532" s="1" t="s">
        <v>818</v>
      </c>
      <c r="B532" s="30">
        <v>45725.5</v>
      </c>
      <c r="C532" s="1" t="s">
        <v>677</v>
      </c>
      <c r="D532" s="1" t="s">
        <v>678</v>
      </c>
      <c r="E532" s="1" t="s">
        <v>74</v>
      </c>
      <c r="F532" s="1" t="s">
        <v>74</v>
      </c>
      <c r="G532" s="1" t="s">
        <v>116</v>
      </c>
      <c r="H532" s="1" t="s">
        <v>76</v>
      </c>
      <c r="I532" s="31">
        <v>1</v>
      </c>
      <c r="J532" s="32">
        <v>15.29</v>
      </c>
      <c r="K532" s="32">
        <v>15.29</v>
      </c>
      <c r="L532" s="32">
        <v>7.31</v>
      </c>
      <c r="M532" s="32">
        <v>7.98</v>
      </c>
      <c r="N532" s="1" t="s">
        <v>117</v>
      </c>
      <c r="O532" s="1" t="s">
        <v>112</v>
      </c>
    </row>
    <row r="533" spans="1:15" ht="18.95" customHeight="1" x14ac:dyDescent="0.25">
      <c r="A533" s="1" t="s">
        <v>818</v>
      </c>
      <c r="B533" s="30">
        <v>45725.5</v>
      </c>
      <c r="C533" s="1" t="s">
        <v>677</v>
      </c>
      <c r="D533" s="1" t="s">
        <v>678</v>
      </c>
      <c r="E533" s="1" t="s">
        <v>74</v>
      </c>
      <c r="F533" s="1" t="s">
        <v>74</v>
      </c>
      <c r="G533" s="1" t="s">
        <v>138</v>
      </c>
      <c r="H533" s="1" t="s">
        <v>99</v>
      </c>
      <c r="I533" s="31">
        <v>4</v>
      </c>
      <c r="J533" s="32">
        <v>35.69</v>
      </c>
      <c r="K533" s="32">
        <v>142.76</v>
      </c>
      <c r="L533" s="32">
        <v>92.39</v>
      </c>
      <c r="M533" s="32">
        <v>50.37</v>
      </c>
      <c r="N533" s="1" t="s">
        <v>117</v>
      </c>
      <c r="O533" s="1" t="s">
        <v>112</v>
      </c>
    </row>
    <row r="534" spans="1:15" ht="18.95" customHeight="1" x14ac:dyDescent="0.25">
      <c r="A534" s="1" t="s">
        <v>818</v>
      </c>
      <c r="B534" s="30">
        <v>45725.5</v>
      </c>
      <c r="C534" s="1" t="s">
        <v>677</v>
      </c>
      <c r="D534" s="1" t="s">
        <v>678</v>
      </c>
      <c r="E534" s="1" t="s">
        <v>74</v>
      </c>
      <c r="F534" s="1" t="s">
        <v>74</v>
      </c>
      <c r="G534" s="1" t="s">
        <v>84</v>
      </c>
      <c r="H534" s="1" t="s">
        <v>85</v>
      </c>
      <c r="I534" s="31">
        <v>2</v>
      </c>
      <c r="J534" s="32">
        <v>7.79</v>
      </c>
      <c r="K534" s="32">
        <v>15.58</v>
      </c>
      <c r="L534" s="32">
        <v>8.36</v>
      </c>
      <c r="M534" s="32">
        <v>7.22</v>
      </c>
      <c r="N534" s="1" t="s">
        <v>117</v>
      </c>
      <c r="O534" s="1" t="s">
        <v>112</v>
      </c>
    </row>
    <row r="535" spans="1:15" ht="18.95" customHeight="1" x14ac:dyDescent="0.25">
      <c r="A535" s="1" t="s">
        <v>819</v>
      </c>
      <c r="B535" s="30">
        <v>45727.5</v>
      </c>
      <c r="C535" s="1" t="s">
        <v>148</v>
      </c>
      <c r="D535" s="1" t="s">
        <v>149</v>
      </c>
      <c r="E535" s="1" t="s">
        <v>150</v>
      </c>
      <c r="F535" s="1" t="s">
        <v>105</v>
      </c>
      <c r="G535" s="1" t="s">
        <v>157</v>
      </c>
      <c r="H535" s="1" t="s">
        <v>93</v>
      </c>
      <c r="I535" s="31">
        <v>5</v>
      </c>
      <c r="J535" s="32">
        <v>19.37</v>
      </c>
      <c r="K535" s="32">
        <v>96.85</v>
      </c>
      <c r="L535" s="32">
        <v>49.96</v>
      </c>
      <c r="M535" s="32">
        <v>46.89</v>
      </c>
      <c r="N535" s="1" t="s">
        <v>77</v>
      </c>
      <c r="O535" s="1" t="s">
        <v>78</v>
      </c>
    </row>
    <row r="536" spans="1:15" ht="18.95" customHeight="1" x14ac:dyDescent="0.25">
      <c r="A536" s="1" t="s">
        <v>820</v>
      </c>
      <c r="B536" s="30">
        <v>45728.5</v>
      </c>
      <c r="C536" s="1" t="s">
        <v>599</v>
      </c>
      <c r="D536" s="1" t="s">
        <v>600</v>
      </c>
      <c r="E536" s="1" t="s">
        <v>74</v>
      </c>
      <c r="F536" s="1" t="s">
        <v>74</v>
      </c>
      <c r="G536" s="1" t="s">
        <v>92</v>
      </c>
      <c r="H536" s="1" t="s">
        <v>93</v>
      </c>
      <c r="I536" s="31">
        <v>1</v>
      </c>
      <c r="J536" s="32">
        <v>71.39</v>
      </c>
      <c r="K536" s="32">
        <v>71.39</v>
      </c>
      <c r="L536" s="32">
        <v>47.97</v>
      </c>
      <c r="M536" s="32">
        <v>23.42</v>
      </c>
      <c r="N536" s="1" t="s">
        <v>117</v>
      </c>
      <c r="O536" s="1" t="s">
        <v>233</v>
      </c>
    </row>
    <row r="537" spans="1:15" ht="18.95" customHeight="1" x14ac:dyDescent="0.25">
      <c r="A537" s="1" t="s">
        <v>821</v>
      </c>
      <c r="B537" s="30">
        <v>45730.5</v>
      </c>
      <c r="C537" s="1" t="s">
        <v>450</v>
      </c>
      <c r="D537" s="1" t="s">
        <v>451</v>
      </c>
      <c r="E537" s="1" t="s">
        <v>183</v>
      </c>
      <c r="F537" s="1" t="s">
        <v>137</v>
      </c>
      <c r="G537" s="1" t="s">
        <v>143</v>
      </c>
      <c r="H537" s="1" t="s">
        <v>128</v>
      </c>
      <c r="I537" s="31">
        <v>1</v>
      </c>
      <c r="J537" s="32">
        <v>77.510000000000005</v>
      </c>
      <c r="K537" s="32">
        <v>77.510000000000005</v>
      </c>
      <c r="L537" s="32">
        <v>73.680000000000007</v>
      </c>
      <c r="M537" s="32">
        <v>3.83</v>
      </c>
      <c r="N537" s="1" t="s">
        <v>117</v>
      </c>
      <c r="O537" s="1" t="s">
        <v>78</v>
      </c>
    </row>
    <row r="538" spans="1:15" ht="18.95" customHeight="1" x14ac:dyDescent="0.25">
      <c r="A538" s="1" t="s">
        <v>822</v>
      </c>
      <c r="B538" s="30">
        <v>45731.5</v>
      </c>
      <c r="C538" s="1" t="s">
        <v>270</v>
      </c>
      <c r="D538" s="1" t="s">
        <v>271</v>
      </c>
      <c r="E538" s="1" t="s">
        <v>212</v>
      </c>
      <c r="F538" s="1" t="s">
        <v>83</v>
      </c>
      <c r="G538" s="1" t="s">
        <v>132</v>
      </c>
      <c r="H538" s="1" t="s">
        <v>99</v>
      </c>
      <c r="I538" s="31">
        <v>2</v>
      </c>
      <c r="J538" s="32">
        <v>82.61</v>
      </c>
      <c r="K538" s="32">
        <v>165.22</v>
      </c>
      <c r="L538" s="32">
        <v>140.4</v>
      </c>
      <c r="M538" s="32">
        <v>24.82</v>
      </c>
      <c r="N538" s="1" t="s">
        <v>86</v>
      </c>
      <c r="O538" s="1" t="s">
        <v>118</v>
      </c>
    </row>
    <row r="539" spans="1:15" ht="18.95" customHeight="1" x14ac:dyDescent="0.25">
      <c r="A539" s="1" t="s">
        <v>823</v>
      </c>
      <c r="B539" s="30">
        <v>45731.5</v>
      </c>
      <c r="C539" s="1" t="s">
        <v>824</v>
      </c>
      <c r="D539" s="1" t="s">
        <v>825</v>
      </c>
      <c r="E539" s="1" t="s">
        <v>136</v>
      </c>
      <c r="F539" s="1" t="s">
        <v>137</v>
      </c>
      <c r="G539" s="1" t="s">
        <v>179</v>
      </c>
      <c r="H539" s="1" t="s">
        <v>128</v>
      </c>
      <c r="I539" s="31">
        <v>1</v>
      </c>
      <c r="J539" s="32">
        <v>40.79</v>
      </c>
      <c r="K539" s="32">
        <v>40.79</v>
      </c>
      <c r="L539" s="32">
        <v>23.35</v>
      </c>
      <c r="M539" s="32">
        <v>17.440000000000001</v>
      </c>
      <c r="N539" s="1" t="s">
        <v>86</v>
      </c>
      <c r="O539" s="1" t="s">
        <v>78</v>
      </c>
    </row>
    <row r="540" spans="1:15" ht="18.95" customHeight="1" x14ac:dyDescent="0.25">
      <c r="A540" s="1" t="s">
        <v>823</v>
      </c>
      <c r="B540" s="30">
        <v>45731.5</v>
      </c>
      <c r="C540" s="1" t="s">
        <v>824</v>
      </c>
      <c r="D540" s="1" t="s">
        <v>825</v>
      </c>
      <c r="E540" s="1" t="s">
        <v>136</v>
      </c>
      <c r="F540" s="1" t="s">
        <v>137</v>
      </c>
      <c r="G540" s="1" t="s">
        <v>143</v>
      </c>
      <c r="H540" s="1" t="s">
        <v>128</v>
      </c>
      <c r="I540" s="31">
        <v>1</v>
      </c>
      <c r="J540" s="32">
        <v>87.2</v>
      </c>
      <c r="K540" s="32">
        <v>87.2</v>
      </c>
      <c r="L540" s="32">
        <v>74.209999999999994</v>
      </c>
      <c r="M540" s="32">
        <v>12.99</v>
      </c>
      <c r="N540" s="1" t="s">
        <v>86</v>
      </c>
      <c r="O540" s="1" t="s">
        <v>78</v>
      </c>
    </row>
    <row r="541" spans="1:15" ht="18.95" customHeight="1" x14ac:dyDescent="0.25">
      <c r="A541" s="1" t="s">
        <v>826</v>
      </c>
      <c r="B541" s="30">
        <v>45731.5</v>
      </c>
      <c r="C541" s="1" t="s">
        <v>248</v>
      </c>
      <c r="D541" s="1" t="s">
        <v>249</v>
      </c>
      <c r="E541" s="1" t="s">
        <v>74</v>
      </c>
      <c r="F541" s="1" t="s">
        <v>74</v>
      </c>
      <c r="G541" s="1" t="s">
        <v>116</v>
      </c>
      <c r="H541" s="1" t="s">
        <v>76</v>
      </c>
      <c r="I541" s="31">
        <v>2</v>
      </c>
      <c r="J541" s="32">
        <v>13.76</v>
      </c>
      <c r="K541" s="32">
        <v>27.52</v>
      </c>
      <c r="L541" s="32">
        <v>13.69</v>
      </c>
      <c r="M541" s="32">
        <v>13.83</v>
      </c>
      <c r="N541" s="1" t="s">
        <v>77</v>
      </c>
      <c r="O541" s="1" t="s">
        <v>78</v>
      </c>
    </row>
    <row r="542" spans="1:15" ht="18.95" customHeight="1" x14ac:dyDescent="0.25">
      <c r="A542" s="1" t="s">
        <v>826</v>
      </c>
      <c r="B542" s="30">
        <v>45731.5</v>
      </c>
      <c r="C542" s="1" t="s">
        <v>248</v>
      </c>
      <c r="D542" s="1" t="s">
        <v>249</v>
      </c>
      <c r="E542" s="1" t="s">
        <v>74</v>
      </c>
      <c r="F542" s="1" t="s">
        <v>74</v>
      </c>
      <c r="G542" s="1" t="s">
        <v>110</v>
      </c>
      <c r="H542" s="1" t="s">
        <v>85</v>
      </c>
      <c r="I542" s="31">
        <v>3</v>
      </c>
      <c r="J542" s="32">
        <v>13.25</v>
      </c>
      <c r="K542" s="32">
        <v>39.75</v>
      </c>
      <c r="L542" s="32">
        <v>18.8</v>
      </c>
      <c r="M542" s="32">
        <v>20.95</v>
      </c>
      <c r="N542" s="1" t="s">
        <v>77</v>
      </c>
      <c r="O542" s="1" t="s">
        <v>78</v>
      </c>
    </row>
    <row r="543" spans="1:15" ht="18.95" customHeight="1" x14ac:dyDescent="0.25">
      <c r="A543" s="1" t="s">
        <v>827</v>
      </c>
      <c r="B543" s="30">
        <v>45733.5</v>
      </c>
      <c r="C543" s="1" t="s">
        <v>759</v>
      </c>
      <c r="D543" s="1" t="s">
        <v>760</v>
      </c>
      <c r="E543" s="1" t="s">
        <v>74</v>
      </c>
      <c r="F543" s="1" t="s">
        <v>74</v>
      </c>
      <c r="G543" s="1" t="s">
        <v>151</v>
      </c>
      <c r="H543" s="1" t="s">
        <v>76</v>
      </c>
      <c r="I543" s="31">
        <v>1</v>
      </c>
      <c r="J543" s="32">
        <v>18.399999999999999</v>
      </c>
      <c r="K543" s="32">
        <v>18.399999999999999</v>
      </c>
      <c r="L543" s="32">
        <v>10.5</v>
      </c>
      <c r="M543" s="32">
        <v>7.9</v>
      </c>
      <c r="N543" s="1" t="s">
        <v>86</v>
      </c>
      <c r="O543" s="1" t="s">
        <v>118</v>
      </c>
    </row>
    <row r="544" spans="1:15" ht="18.95" customHeight="1" x14ac:dyDescent="0.25">
      <c r="A544" s="1" t="s">
        <v>828</v>
      </c>
      <c r="B544" s="30">
        <v>45735.5</v>
      </c>
      <c r="C544" s="1" t="s">
        <v>276</v>
      </c>
      <c r="D544" s="1" t="s">
        <v>277</v>
      </c>
      <c r="E544" s="1" t="s">
        <v>74</v>
      </c>
      <c r="F544" s="1" t="s">
        <v>74</v>
      </c>
      <c r="G544" s="1" t="s">
        <v>202</v>
      </c>
      <c r="H544" s="1" t="s">
        <v>85</v>
      </c>
      <c r="I544" s="31">
        <v>2</v>
      </c>
      <c r="J544" s="32">
        <v>6.93</v>
      </c>
      <c r="K544" s="32">
        <v>13.86</v>
      </c>
      <c r="L544" s="32">
        <v>8.89</v>
      </c>
      <c r="M544" s="32">
        <v>4.97</v>
      </c>
      <c r="N544" s="1" t="s">
        <v>86</v>
      </c>
      <c r="O544" s="1" t="s">
        <v>112</v>
      </c>
    </row>
    <row r="545" spans="1:15" ht="18.95" customHeight="1" x14ac:dyDescent="0.25">
      <c r="A545" s="1" t="s">
        <v>829</v>
      </c>
      <c r="B545" s="30">
        <v>45736.5</v>
      </c>
      <c r="C545" s="1" t="s">
        <v>153</v>
      </c>
      <c r="D545" s="1" t="s">
        <v>154</v>
      </c>
      <c r="E545" s="1" t="s">
        <v>97</v>
      </c>
      <c r="F545" s="1" t="s">
        <v>91</v>
      </c>
      <c r="G545" s="1" t="s">
        <v>322</v>
      </c>
      <c r="H545" s="1" t="s">
        <v>128</v>
      </c>
      <c r="I545" s="31">
        <v>1</v>
      </c>
      <c r="J545" s="32">
        <v>61.19</v>
      </c>
      <c r="K545" s="32">
        <v>61.19</v>
      </c>
      <c r="L545" s="32">
        <v>43.26</v>
      </c>
      <c r="M545" s="32">
        <v>17.93</v>
      </c>
      <c r="N545" s="1" t="s">
        <v>100</v>
      </c>
      <c r="O545" s="1" t="s">
        <v>112</v>
      </c>
    </row>
    <row r="546" spans="1:15" ht="18.95" customHeight="1" x14ac:dyDescent="0.25">
      <c r="A546" s="1" t="s">
        <v>830</v>
      </c>
      <c r="B546" s="30">
        <v>45736.5</v>
      </c>
      <c r="C546" s="1" t="s">
        <v>596</v>
      </c>
      <c r="D546" s="1" t="s">
        <v>597</v>
      </c>
      <c r="E546" s="1" t="s">
        <v>104</v>
      </c>
      <c r="F546" s="1" t="s">
        <v>105</v>
      </c>
      <c r="G546" s="1" t="s">
        <v>230</v>
      </c>
      <c r="H546" s="1" t="s">
        <v>128</v>
      </c>
      <c r="I546" s="31">
        <v>1</v>
      </c>
      <c r="J546" s="32">
        <v>43.6</v>
      </c>
      <c r="K546" s="32">
        <v>43.6</v>
      </c>
      <c r="L546" s="32">
        <v>28.88</v>
      </c>
      <c r="M546" s="32">
        <v>14.72</v>
      </c>
      <c r="N546" s="1" t="s">
        <v>86</v>
      </c>
      <c r="O546" s="1" t="s">
        <v>78</v>
      </c>
    </row>
    <row r="547" spans="1:15" ht="18.95" customHeight="1" x14ac:dyDescent="0.25">
      <c r="A547" s="1" t="s">
        <v>830</v>
      </c>
      <c r="B547" s="30">
        <v>45736.5</v>
      </c>
      <c r="C547" s="1" t="s">
        <v>596</v>
      </c>
      <c r="D547" s="1" t="s">
        <v>597</v>
      </c>
      <c r="E547" s="1" t="s">
        <v>104</v>
      </c>
      <c r="F547" s="1" t="s">
        <v>105</v>
      </c>
      <c r="G547" s="1" t="s">
        <v>75</v>
      </c>
      <c r="H547" s="1" t="s">
        <v>76</v>
      </c>
      <c r="I547" s="31">
        <v>1</v>
      </c>
      <c r="J547" s="32">
        <v>27.53</v>
      </c>
      <c r="K547" s="32">
        <v>27.53</v>
      </c>
      <c r="L547" s="32">
        <v>14.66</v>
      </c>
      <c r="M547" s="32">
        <v>12.87</v>
      </c>
      <c r="N547" s="1" t="s">
        <v>86</v>
      </c>
      <c r="O547" s="1" t="s">
        <v>78</v>
      </c>
    </row>
    <row r="548" spans="1:15" ht="18.95" customHeight="1" x14ac:dyDescent="0.25">
      <c r="A548" s="1" t="s">
        <v>831</v>
      </c>
      <c r="B548" s="30">
        <v>45737.5</v>
      </c>
      <c r="C548" s="1" t="s">
        <v>245</v>
      </c>
      <c r="D548" s="1" t="s">
        <v>246</v>
      </c>
      <c r="E548" s="1" t="s">
        <v>104</v>
      </c>
      <c r="F548" s="1" t="s">
        <v>105</v>
      </c>
      <c r="G548" s="1" t="s">
        <v>319</v>
      </c>
      <c r="H548" s="1" t="s">
        <v>128</v>
      </c>
      <c r="I548" s="31">
        <v>4</v>
      </c>
      <c r="J548" s="32">
        <v>53.29</v>
      </c>
      <c r="K548" s="32">
        <v>213.16</v>
      </c>
      <c r="L548" s="32">
        <v>151.01</v>
      </c>
      <c r="M548" s="32">
        <v>62.15</v>
      </c>
      <c r="N548" s="1" t="s">
        <v>117</v>
      </c>
      <c r="O548" s="1" t="s">
        <v>112</v>
      </c>
    </row>
    <row r="549" spans="1:15" ht="18.95" customHeight="1" x14ac:dyDescent="0.25">
      <c r="A549" s="1" t="s">
        <v>832</v>
      </c>
      <c r="B549" s="30">
        <v>45737.5</v>
      </c>
      <c r="C549" s="1" t="s">
        <v>145</v>
      </c>
      <c r="D549" s="1" t="s">
        <v>146</v>
      </c>
      <c r="E549" s="1" t="s">
        <v>74</v>
      </c>
      <c r="F549" s="1" t="s">
        <v>74</v>
      </c>
      <c r="G549" s="1" t="s">
        <v>322</v>
      </c>
      <c r="H549" s="1" t="s">
        <v>128</v>
      </c>
      <c r="I549" s="31">
        <v>1</v>
      </c>
      <c r="J549" s="32">
        <v>58.13</v>
      </c>
      <c r="K549" s="32">
        <v>58.13</v>
      </c>
      <c r="L549" s="32">
        <v>43.01</v>
      </c>
      <c r="M549" s="32">
        <v>15.12</v>
      </c>
      <c r="N549" s="1" t="s">
        <v>111</v>
      </c>
      <c r="O549" s="1" t="s">
        <v>112</v>
      </c>
    </row>
    <row r="550" spans="1:15" ht="18.95" customHeight="1" x14ac:dyDescent="0.25">
      <c r="A550" s="1" t="s">
        <v>832</v>
      </c>
      <c r="B550" s="30">
        <v>45737.5</v>
      </c>
      <c r="C550" s="1" t="s">
        <v>145</v>
      </c>
      <c r="D550" s="1" t="s">
        <v>146</v>
      </c>
      <c r="E550" s="1" t="s">
        <v>74</v>
      </c>
      <c r="F550" s="1" t="s">
        <v>74</v>
      </c>
      <c r="G550" s="1" t="s">
        <v>84</v>
      </c>
      <c r="H550" s="1" t="s">
        <v>85</v>
      </c>
      <c r="I550" s="31">
        <v>1</v>
      </c>
      <c r="J550" s="32">
        <v>8.25</v>
      </c>
      <c r="K550" s="32">
        <v>8.25</v>
      </c>
      <c r="L550" s="32">
        <v>4.22</v>
      </c>
      <c r="M550" s="32">
        <v>4.03</v>
      </c>
      <c r="N550" s="1" t="s">
        <v>111</v>
      </c>
      <c r="O550" s="1" t="s">
        <v>112</v>
      </c>
    </row>
    <row r="551" spans="1:15" ht="18.95" customHeight="1" x14ac:dyDescent="0.25">
      <c r="A551" s="1" t="s">
        <v>833</v>
      </c>
      <c r="B551" s="30">
        <v>45737.5</v>
      </c>
      <c r="C551" s="1" t="s">
        <v>324</v>
      </c>
      <c r="D551" s="1" t="s">
        <v>325</v>
      </c>
      <c r="E551" s="1" t="s">
        <v>183</v>
      </c>
      <c r="F551" s="1" t="s">
        <v>137</v>
      </c>
      <c r="G551" s="1" t="s">
        <v>157</v>
      </c>
      <c r="H551" s="1" t="s">
        <v>93</v>
      </c>
      <c r="I551" s="31">
        <v>1</v>
      </c>
      <c r="J551" s="32">
        <v>20.39</v>
      </c>
      <c r="K551" s="32">
        <v>20.39</v>
      </c>
      <c r="L551" s="32">
        <v>10.25</v>
      </c>
      <c r="M551" s="32">
        <v>10.14</v>
      </c>
      <c r="N551" s="1" t="s">
        <v>86</v>
      </c>
      <c r="O551" s="1" t="s">
        <v>233</v>
      </c>
    </row>
    <row r="552" spans="1:15" ht="18.95" customHeight="1" x14ac:dyDescent="0.25">
      <c r="A552" s="1" t="s">
        <v>833</v>
      </c>
      <c r="B552" s="30">
        <v>45737.5</v>
      </c>
      <c r="C552" s="1" t="s">
        <v>324</v>
      </c>
      <c r="D552" s="1" t="s">
        <v>325</v>
      </c>
      <c r="E552" s="1" t="s">
        <v>183</v>
      </c>
      <c r="F552" s="1" t="s">
        <v>137</v>
      </c>
      <c r="G552" s="1" t="s">
        <v>84</v>
      </c>
      <c r="H552" s="1" t="s">
        <v>85</v>
      </c>
      <c r="I552" s="31">
        <v>1</v>
      </c>
      <c r="J552" s="32">
        <v>8.25</v>
      </c>
      <c r="K552" s="32">
        <v>8.25</v>
      </c>
      <c r="L552" s="32">
        <v>4.09</v>
      </c>
      <c r="M552" s="32">
        <v>4.16</v>
      </c>
      <c r="N552" s="1" t="s">
        <v>86</v>
      </c>
      <c r="O552" s="1" t="s">
        <v>233</v>
      </c>
    </row>
    <row r="553" spans="1:15" ht="18.95" customHeight="1" x14ac:dyDescent="0.25">
      <c r="A553" s="1" t="s">
        <v>834</v>
      </c>
      <c r="B553" s="30">
        <v>45738.5</v>
      </c>
      <c r="C553" s="1" t="s">
        <v>235</v>
      </c>
      <c r="D553" s="1" t="s">
        <v>236</v>
      </c>
      <c r="E553" s="1" t="s">
        <v>237</v>
      </c>
      <c r="F553" s="1" t="s">
        <v>238</v>
      </c>
      <c r="G553" s="1" t="s">
        <v>139</v>
      </c>
      <c r="H553" s="1" t="s">
        <v>128</v>
      </c>
      <c r="I553" s="31">
        <v>3</v>
      </c>
      <c r="J553" s="32">
        <v>71.39</v>
      </c>
      <c r="K553" s="32">
        <v>214.17</v>
      </c>
      <c r="L553" s="32">
        <v>141.78</v>
      </c>
      <c r="M553" s="32">
        <v>72.39</v>
      </c>
      <c r="N553" s="1" t="s">
        <v>86</v>
      </c>
      <c r="O553" s="1" t="s">
        <v>78</v>
      </c>
    </row>
    <row r="554" spans="1:15" ht="18.95" customHeight="1" x14ac:dyDescent="0.25">
      <c r="A554" s="1" t="s">
        <v>834</v>
      </c>
      <c r="B554" s="30">
        <v>45738.5</v>
      </c>
      <c r="C554" s="1" t="s">
        <v>235</v>
      </c>
      <c r="D554" s="1" t="s">
        <v>236</v>
      </c>
      <c r="E554" s="1" t="s">
        <v>237</v>
      </c>
      <c r="F554" s="1" t="s">
        <v>238</v>
      </c>
      <c r="G554" s="1" t="s">
        <v>202</v>
      </c>
      <c r="H554" s="1" t="s">
        <v>85</v>
      </c>
      <c r="I554" s="31">
        <v>1</v>
      </c>
      <c r="J554" s="32">
        <v>7.33</v>
      </c>
      <c r="K554" s="32">
        <v>7.33</v>
      </c>
      <c r="L554" s="32">
        <v>4.3</v>
      </c>
      <c r="M554" s="32">
        <v>3.03</v>
      </c>
      <c r="N554" s="1" t="s">
        <v>86</v>
      </c>
      <c r="O554" s="1" t="s">
        <v>78</v>
      </c>
    </row>
    <row r="555" spans="1:15" ht="18.95" customHeight="1" x14ac:dyDescent="0.25">
      <c r="A555" s="1" t="s">
        <v>834</v>
      </c>
      <c r="B555" s="30">
        <v>45738.5</v>
      </c>
      <c r="C555" s="1" t="s">
        <v>235</v>
      </c>
      <c r="D555" s="1" t="s">
        <v>236</v>
      </c>
      <c r="E555" s="1" t="s">
        <v>237</v>
      </c>
      <c r="F555" s="1" t="s">
        <v>238</v>
      </c>
      <c r="G555" s="1" t="s">
        <v>207</v>
      </c>
      <c r="H555" s="1" t="s">
        <v>85</v>
      </c>
      <c r="I555" s="31">
        <v>3</v>
      </c>
      <c r="J555" s="32">
        <v>122.39</v>
      </c>
      <c r="K555" s="32">
        <v>367.17</v>
      </c>
      <c r="L555" s="32">
        <v>272.3</v>
      </c>
      <c r="M555" s="32">
        <v>94.87</v>
      </c>
      <c r="N555" s="1" t="s">
        <v>86</v>
      </c>
      <c r="O555" s="1" t="s">
        <v>78</v>
      </c>
    </row>
    <row r="556" spans="1:15" ht="18.95" customHeight="1" x14ac:dyDescent="0.25">
      <c r="A556" s="1" t="s">
        <v>835</v>
      </c>
      <c r="B556" s="30">
        <v>45739.5</v>
      </c>
      <c r="C556" s="1" t="s">
        <v>347</v>
      </c>
      <c r="D556" s="1" t="s">
        <v>348</v>
      </c>
      <c r="E556" s="1" t="s">
        <v>330</v>
      </c>
      <c r="F556" s="1" t="s">
        <v>238</v>
      </c>
      <c r="G556" s="1" t="s">
        <v>138</v>
      </c>
      <c r="H556" s="1" t="s">
        <v>99</v>
      </c>
      <c r="I556" s="31">
        <v>1</v>
      </c>
      <c r="J556" s="32">
        <v>35.69</v>
      </c>
      <c r="K556" s="32">
        <v>35.69</v>
      </c>
      <c r="L556" s="32">
        <v>23.1</v>
      </c>
      <c r="M556" s="32">
        <v>12.59</v>
      </c>
      <c r="N556" s="1" t="s">
        <v>117</v>
      </c>
      <c r="O556" s="1" t="s">
        <v>112</v>
      </c>
    </row>
    <row r="557" spans="1:15" ht="18.95" customHeight="1" x14ac:dyDescent="0.25">
      <c r="A557" s="1" t="s">
        <v>835</v>
      </c>
      <c r="B557" s="30">
        <v>45739.5</v>
      </c>
      <c r="C557" s="1" t="s">
        <v>347</v>
      </c>
      <c r="D557" s="1" t="s">
        <v>348</v>
      </c>
      <c r="E557" s="1" t="s">
        <v>330</v>
      </c>
      <c r="F557" s="1" t="s">
        <v>238</v>
      </c>
      <c r="G557" s="1" t="s">
        <v>139</v>
      </c>
      <c r="H557" s="1" t="s">
        <v>128</v>
      </c>
      <c r="I557" s="31">
        <v>1</v>
      </c>
      <c r="J557" s="32">
        <v>64.25</v>
      </c>
      <c r="K557" s="32">
        <v>64.25</v>
      </c>
      <c r="L557" s="32">
        <v>48.47</v>
      </c>
      <c r="M557" s="32">
        <v>15.78</v>
      </c>
      <c r="N557" s="1" t="s">
        <v>117</v>
      </c>
      <c r="O557" s="1" t="s">
        <v>112</v>
      </c>
    </row>
    <row r="558" spans="1:15" ht="18.95" customHeight="1" x14ac:dyDescent="0.25">
      <c r="A558" s="1" t="s">
        <v>836</v>
      </c>
      <c r="B558" s="30">
        <v>45740.5</v>
      </c>
      <c r="C558" s="1" t="s">
        <v>251</v>
      </c>
      <c r="D558" s="1" t="s">
        <v>252</v>
      </c>
      <c r="E558" s="1" t="s">
        <v>243</v>
      </c>
      <c r="F558" s="1" t="s">
        <v>165</v>
      </c>
      <c r="G558" s="1" t="s">
        <v>202</v>
      </c>
      <c r="H558" s="1" t="s">
        <v>85</v>
      </c>
      <c r="I558" s="31">
        <v>1</v>
      </c>
      <c r="J558" s="32">
        <v>8.15</v>
      </c>
      <c r="K558" s="32">
        <v>8.15</v>
      </c>
      <c r="L558" s="32">
        <v>4.54</v>
      </c>
      <c r="M558" s="32">
        <v>3.61</v>
      </c>
      <c r="N558" s="1" t="s">
        <v>315</v>
      </c>
      <c r="O558" s="1" t="s">
        <v>112</v>
      </c>
    </row>
    <row r="559" spans="1:15" ht="18.95" customHeight="1" x14ac:dyDescent="0.25">
      <c r="A559" s="1" t="s">
        <v>836</v>
      </c>
      <c r="B559" s="30">
        <v>45740.5</v>
      </c>
      <c r="C559" s="1" t="s">
        <v>251</v>
      </c>
      <c r="D559" s="1" t="s">
        <v>252</v>
      </c>
      <c r="E559" s="1" t="s">
        <v>243</v>
      </c>
      <c r="F559" s="1" t="s">
        <v>165</v>
      </c>
      <c r="G559" s="1" t="s">
        <v>322</v>
      </c>
      <c r="H559" s="1" t="s">
        <v>128</v>
      </c>
      <c r="I559" s="31">
        <v>2</v>
      </c>
      <c r="J559" s="32">
        <v>52.01</v>
      </c>
      <c r="K559" s="32">
        <v>104.02</v>
      </c>
      <c r="L559" s="32">
        <v>85.04</v>
      </c>
      <c r="M559" s="32">
        <v>18.98</v>
      </c>
      <c r="N559" s="1" t="s">
        <v>315</v>
      </c>
      <c r="O559" s="1" t="s">
        <v>112</v>
      </c>
    </row>
    <row r="560" spans="1:15" ht="18.95" customHeight="1" x14ac:dyDescent="0.25">
      <c r="A560" s="1" t="s">
        <v>836</v>
      </c>
      <c r="B560" s="30">
        <v>45740.5</v>
      </c>
      <c r="C560" s="1" t="s">
        <v>251</v>
      </c>
      <c r="D560" s="1" t="s">
        <v>252</v>
      </c>
      <c r="E560" s="1" t="s">
        <v>243</v>
      </c>
      <c r="F560" s="1" t="s">
        <v>165</v>
      </c>
      <c r="G560" s="1" t="s">
        <v>230</v>
      </c>
      <c r="H560" s="1" t="s">
        <v>128</v>
      </c>
      <c r="I560" s="31">
        <v>1</v>
      </c>
      <c r="J560" s="32">
        <v>45.89</v>
      </c>
      <c r="K560" s="32">
        <v>45.89</v>
      </c>
      <c r="L560" s="32">
        <v>30.16</v>
      </c>
      <c r="M560" s="32">
        <v>15.73</v>
      </c>
      <c r="N560" s="1" t="s">
        <v>315</v>
      </c>
      <c r="O560" s="1" t="s">
        <v>112</v>
      </c>
    </row>
    <row r="561" spans="1:15" ht="18.95" customHeight="1" x14ac:dyDescent="0.25">
      <c r="A561" s="1" t="s">
        <v>837</v>
      </c>
      <c r="B561" s="30">
        <v>45741.5</v>
      </c>
      <c r="C561" s="1" t="s">
        <v>637</v>
      </c>
      <c r="D561" s="1" t="s">
        <v>638</v>
      </c>
      <c r="E561" s="1" t="s">
        <v>90</v>
      </c>
      <c r="F561" s="1" t="s">
        <v>91</v>
      </c>
      <c r="G561" s="1" t="s">
        <v>151</v>
      </c>
      <c r="H561" s="1" t="s">
        <v>76</v>
      </c>
      <c r="I561" s="31">
        <v>1</v>
      </c>
      <c r="J561" s="32">
        <v>19.37</v>
      </c>
      <c r="K561" s="32">
        <v>19.37</v>
      </c>
      <c r="L561" s="32">
        <v>9.84</v>
      </c>
      <c r="M561" s="32">
        <v>9.5299999999999994</v>
      </c>
      <c r="N561" s="1" t="s">
        <v>111</v>
      </c>
      <c r="O561" s="1" t="s">
        <v>112</v>
      </c>
    </row>
    <row r="562" spans="1:15" ht="18.95" customHeight="1" x14ac:dyDescent="0.25">
      <c r="A562" s="1" t="s">
        <v>838</v>
      </c>
      <c r="B562" s="30">
        <v>45745.5</v>
      </c>
      <c r="C562" s="1" t="s">
        <v>296</v>
      </c>
      <c r="D562" s="1" t="s">
        <v>297</v>
      </c>
      <c r="E562" s="1" t="s">
        <v>174</v>
      </c>
      <c r="F562" s="1" t="s">
        <v>175</v>
      </c>
      <c r="G562" s="1" t="s">
        <v>189</v>
      </c>
      <c r="H562" s="1" t="s">
        <v>93</v>
      </c>
      <c r="I562" s="31">
        <v>2</v>
      </c>
      <c r="J562" s="32">
        <v>39.01</v>
      </c>
      <c r="K562" s="32">
        <v>78.02</v>
      </c>
      <c r="L562" s="32">
        <v>58.68</v>
      </c>
      <c r="M562" s="32">
        <v>19.34</v>
      </c>
      <c r="N562" s="1" t="s">
        <v>77</v>
      </c>
      <c r="O562" s="1" t="s">
        <v>118</v>
      </c>
    </row>
    <row r="563" spans="1:15" ht="18.95" customHeight="1" x14ac:dyDescent="0.25">
      <c r="A563" s="1" t="s">
        <v>839</v>
      </c>
      <c r="B563" s="30">
        <v>45747.5</v>
      </c>
      <c r="C563" s="1" t="s">
        <v>80</v>
      </c>
      <c r="D563" s="1" t="s">
        <v>81</v>
      </c>
      <c r="E563" s="1" t="s">
        <v>82</v>
      </c>
      <c r="F563" s="1" t="s">
        <v>83</v>
      </c>
      <c r="G563" s="1" t="s">
        <v>110</v>
      </c>
      <c r="H563" s="1" t="s">
        <v>85</v>
      </c>
      <c r="I563" s="31">
        <v>3</v>
      </c>
      <c r="J563" s="32">
        <v>11.92</v>
      </c>
      <c r="K563" s="32">
        <v>35.76</v>
      </c>
      <c r="L563" s="32">
        <v>18.579999999999998</v>
      </c>
      <c r="M563" s="32">
        <v>17.18</v>
      </c>
      <c r="N563" s="1" t="s">
        <v>117</v>
      </c>
      <c r="O563" s="1" t="s">
        <v>78</v>
      </c>
    </row>
    <row r="564" spans="1:15" ht="18.95" customHeight="1" x14ac:dyDescent="0.25">
      <c r="A564" s="1" t="s">
        <v>840</v>
      </c>
      <c r="B564" s="30">
        <v>45748.5</v>
      </c>
      <c r="C564" s="1" t="s">
        <v>186</v>
      </c>
      <c r="D564" s="1" t="s">
        <v>187</v>
      </c>
      <c r="E564" s="1" t="s">
        <v>169</v>
      </c>
      <c r="F564" s="1" t="s">
        <v>170</v>
      </c>
      <c r="G564" s="1" t="s">
        <v>157</v>
      </c>
      <c r="H564" s="1" t="s">
        <v>93</v>
      </c>
      <c r="I564" s="31">
        <v>2</v>
      </c>
      <c r="J564" s="32">
        <v>20.39</v>
      </c>
      <c r="K564" s="32">
        <v>40.78</v>
      </c>
      <c r="L564" s="32">
        <v>20.100000000000001</v>
      </c>
      <c r="M564" s="32">
        <v>20.68</v>
      </c>
      <c r="N564" s="1" t="s">
        <v>77</v>
      </c>
      <c r="O564" s="1" t="s">
        <v>78</v>
      </c>
    </row>
    <row r="565" spans="1:15" ht="18.95" customHeight="1" x14ac:dyDescent="0.25">
      <c r="A565" s="1" t="s">
        <v>841</v>
      </c>
      <c r="B565" s="30">
        <v>45748.5</v>
      </c>
      <c r="C565" s="1" t="s">
        <v>153</v>
      </c>
      <c r="D565" s="1" t="s">
        <v>154</v>
      </c>
      <c r="E565" s="1" t="s">
        <v>97</v>
      </c>
      <c r="F565" s="1" t="s">
        <v>91</v>
      </c>
      <c r="G565" s="1" t="s">
        <v>127</v>
      </c>
      <c r="H565" s="1" t="s">
        <v>128</v>
      </c>
      <c r="I565" s="31">
        <v>1</v>
      </c>
      <c r="J565" s="32">
        <v>24.22</v>
      </c>
      <c r="K565" s="32">
        <v>24.22</v>
      </c>
      <c r="L565" s="32">
        <v>15.52</v>
      </c>
      <c r="M565" s="32">
        <v>8.6999999999999993</v>
      </c>
      <c r="N565" s="1" t="s">
        <v>117</v>
      </c>
      <c r="O565" s="1" t="s">
        <v>233</v>
      </c>
    </row>
    <row r="566" spans="1:15" ht="18.95" customHeight="1" x14ac:dyDescent="0.25">
      <c r="A566" s="1" t="s">
        <v>842</v>
      </c>
      <c r="B566" s="30">
        <v>45750.5</v>
      </c>
      <c r="C566" s="1" t="s">
        <v>347</v>
      </c>
      <c r="D566" s="1" t="s">
        <v>348</v>
      </c>
      <c r="E566" s="1" t="s">
        <v>330</v>
      </c>
      <c r="F566" s="1" t="s">
        <v>238</v>
      </c>
      <c r="G566" s="1" t="s">
        <v>139</v>
      </c>
      <c r="H566" s="1" t="s">
        <v>128</v>
      </c>
      <c r="I566" s="31">
        <v>1</v>
      </c>
      <c r="J566" s="32">
        <v>71.39</v>
      </c>
      <c r="K566" s="32">
        <v>71.39</v>
      </c>
      <c r="L566" s="32">
        <v>47.26</v>
      </c>
      <c r="M566" s="32">
        <v>24.13</v>
      </c>
      <c r="N566" s="1" t="s">
        <v>77</v>
      </c>
      <c r="O566" s="1" t="s">
        <v>78</v>
      </c>
    </row>
    <row r="567" spans="1:15" ht="18.95" customHeight="1" x14ac:dyDescent="0.25">
      <c r="A567" s="1" t="s">
        <v>843</v>
      </c>
      <c r="B567" s="30">
        <v>45752.5</v>
      </c>
      <c r="C567" s="1" t="s">
        <v>347</v>
      </c>
      <c r="D567" s="1" t="s">
        <v>348</v>
      </c>
      <c r="E567" s="1" t="s">
        <v>330</v>
      </c>
      <c r="F567" s="1" t="s">
        <v>238</v>
      </c>
      <c r="G567" s="1" t="s">
        <v>189</v>
      </c>
      <c r="H567" s="1" t="s">
        <v>93</v>
      </c>
      <c r="I567" s="31">
        <v>2</v>
      </c>
      <c r="J567" s="32">
        <v>43.6</v>
      </c>
      <c r="K567" s="32">
        <v>87.2</v>
      </c>
      <c r="L567" s="32">
        <v>54.11</v>
      </c>
      <c r="M567" s="32">
        <v>33.090000000000003</v>
      </c>
      <c r="N567" s="1" t="s">
        <v>117</v>
      </c>
      <c r="O567" s="1" t="s">
        <v>78</v>
      </c>
    </row>
    <row r="568" spans="1:15" ht="18.95" customHeight="1" x14ac:dyDescent="0.25">
      <c r="A568" s="1" t="s">
        <v>844</v>
      </c>
      <c r="B568" s="30">
        <v>45752.5</v>
      </c>
      <c r="C568" s="1" t="s">
        <v>765</v>
      </c>
      <c r="D568" s="1" t="s">
        <v>766</v>
      </c>
      <c r="E568" s="1" t="s">
        <v>74</v>
      </c>
      <c r="F568" s="1" t="s">
        <v>74</v>
      </c>
      <c r="G568" s="1" t="s">
        <v>84</v>
      </c>
      <c r="H568" s="1" t="s">
        <v>85</v>
      </c>
      <c r="I568" s="31">
        <v>1</v>
      </c>
      <c r="J568" s="32">
        <v>7.79</v>
      </c>
      <c r="K568" s="32">
        <v>7.79</v>
      </c>
      <c r="L568" s="32">
        <v>3.99</v>
      </c>
      <c r="M568" s="32">
        <v>3.8</v>
      </c>
      <c r="N568" s="1" t="s">
        <v>117</v>
      </c>
      <c r="O568" s="1" t="s">
        <v>78</v>
      </c>
    </row>
    <row r="569" spans="1:15" ht="18.95" customHeight="1" x14ac:dyDescent="0.25">
      <c r="A569" s="1" t="s">
        <v>845</v>
      </c>
      <c r="B569" s="30">
        <v>45753.5</v>
      </c>
      <c r="C569" s="1" t="s">
        <v>623</v>
      </c>
      <c r="D569" s="1" t="s">
        <v>624</v>
      </c>
      <c r="E569" s="1" t="s">
        <v>90</v>
      </c>
      <c r="F569" s="1" t="s">
        <v>91</v>
      </c>
      <c r="G569" s="1" t="s">
        <v>195</v>
      </c>
      <c r="H569" s="1" t="s">
        <v>128</v>
      </c>
      <c r="I569" s="31">
        <v>3</v>
      </c>
      <c r="J569" s="32">
        <v>142.79</v>
      </c>
      <c r="K569" s="32">
        <v>428.37</v>
      </c>
      <c r="L569" s="32">
        <v>326.20999999999998</v>
      </c>
      <c r="M569" s="32">
        <v>102.16</v>
      </c>
      <c r="N569" s="1" t="s">
        <v>111</v>
      </c>
      <c r="O569" s="1" t="s">
        <v>78</v>
      </c>
    </row>
    <row r="570" spans="1:15" ht="18.95" customHeight="1" x14ac:dyDescent="0.25">
      <c r="A570" s="1" t="s">
        <v>846</v>
      </c>
      <c r="B570" s="30">
        <v>45755.5</v>
      </c>
      <c r="C570" s="1" t="s">
        <v>210</v>
      </c>
      <c r="D570" s="1" t="s">
        <v>211</v>
      </c>
      <c r="E570" s="1" t="s">
        <v>212</v>
      </c>
      <c r="F570" s="1" t="s">
        <v>83</v>
      </c>
      <c r="G570" s="1" t="s">
        <v>132</v>
      </c>
      <c r="H570" s="1" t="s">
        <v>99</v>
      </c>
      <c r="I570" s="31">
        <v>2</v>
      </c>
      <c r="J570" s="32">
        <v>78.02</v>
      </c>
      <c r="K570" s="32">
        <v>156.04</v>
      </c>
      <c r="L570" s="32">
        <v>139.29</v>
      </c>
      <c r="M570" s="32">
        <v>16.75</v>
      </c>
      <c r="N570" s="1" t="s">
        <v>117</v>
      </c>
      <c r="O570" s="1" t="s">
        <v>118</v>
      </c>
    </row>
    <row r="571" spans="1:15" ht="18.95" customHeight="1" x14ac:dyDescent="0.25">
      <c r="A571" s="1" t="s">
        <v>847</v>
      </c>
      <c r="B571" s="30">
        <v>45759.5</v>
      </c>
      <c r="C571" s="1" t="s">
        <v>95</v>
      </c>
      <c r="D571" s="1" t="s">
        <v>96</v>
      </c>
      <c r="E571" s="1" t="s">
        <v>97</v>
      </c>
      <c r="F571" s="1" t="s">
        <v>91</v>
      </c>
      <c r="G571" s="1" t="s">
        <v>75</v>
      </c>
      <c r="H571" s="1" t="s">
        <v>76</v>
      </c>
      <c r="I571" s="31">
        <v>2</v>
      </c>
      <c r="J571" s="32">
        <v>26.15</v>
      </c>
      <c r="K571" s="32">
        <v>52.3</v>
      </c>
      <c r="L571" s="32">
        <v>32.58</v>
      </c>
      <c r="M571" s="32">
        <v>19.72</v>
      </c>
      <c r="N571" s="1" t="s">
        <v>117</v>
      </c>
      <c r="O571" s="1" t="s">
        <v>118</v>
      </c>
    </row>
    <row r="572" spans="1:15" ht="18.95" customHeight="1" x14ac:dyDescent="0.25">
      <c r="A572" s="1" t="s">
        <v>848</v>
      </c>
      <c r="B572" s="30">
        <v>45761.5</v>
      </c>
      <c r="C572" s="1" t="s">
        <v>512</v>
      </c>
      <c r="D572" s="1" t="s">
        <v>513</v>
      </c>
      <c r="E572" s="1" t="s">
        <v>97</v>
      </c>
      <c r="F572" s="1" t="s">
        <v>91</v>
      </c>
      <c r="G572" s="1" t="s">
        <v>226</v>
      </c>
      <c r="H572" s="1" t="s">
        <v>85</v>
      </c>
      <c r="I572" s="31">
        <v>2</v>
      </c>
      <c r="J572" s="32">
        <v>76.489999999999995</v>
      </c>
      <c r="K572" s="32">
        <v>152.97999999999999</v>
      </c>
      <c r="L572" s="32">
        <v>106.62</v>
      </c>
      <c r="M572" s="32">
        <v>46.36</v>
      </c>
      <c r="N572" s="1" t="s">
        <v>111</v>
      </c>
      <c r="O572" s="1" t="s">
        <v>112</v>
      </c>
    </row>
    <row r="573" spans="1:15" ht="18.95" customHeight="1" x14ac:dyDescent="0.25">
      <c r="A573" s="1" t="s">
        <v>848</v>
      </c>
      <c r="B573" s="30">
        <v>45761.5</v>
      </c>
      <c r="C573" s="1" t="s">
        <v>512</v>
      </c>
      <c r="D573" s="1" t="s">
        <v>513</v>
      </c>
      <c r="E573" s="1" t="s">
        <v>97</v>
      </c>
      <c r="F573" s="1" t="s">
        <v>91</v>
      </c>
      <c r="G573" s="1" t="s">
        <v>151</v>
      </c>
      <c r="H573" s="1" t="s">
        <v>76</v>
      </c>
      <c r="I573" s="31">
        <v>1</v>
      </c>
      <c r="J573" s="32">
        <v>18.399999999999999</v>
      </c>
      <c r="K573" s="32">
        <v>18.399999999999999</v>
      </c>
      <c r="L573" s="32">
        <v>9.76</v>
      </c>
      <c r="M573" s="32">
        <v>8.64</v>
      </c>
      <c r="N573" s="1" t="s">
        <v>111</v>
      </c>
      <c r="O573" s="1" t="s">
        <v>112</v>
      </c>
    </row>
    <row r="574" spans="1:15" ht="18.95" customHeight="1" x14ac:dyDescent="0.25">
      <c r="A574" s="1" t="s">
        <v>848</v>
      </c>
      <c r="B574" s="30">
        <v>45761.5</v>
      </c>
      <c r="C574" s="1" t="s">
        <v>512</v>
      </c>
      <c r="D574" s="1" t="s">
        <v>513</v>
      </c>
      <c r="E574" s="1" t="s">
        <v>97</v>
      </c>
      <c r="F574" s="1" t="s">
        <v>91</v>
      </c>
      <c r="G574" s="1" t="s">
        <v>75</v>
      </c>
      <c r="H574" s="1" t="s">
        <v>76</v>
      </c>
      <c r="I574" s="31">
        <v>1</v>
      </c>
      <c r="J574" s="32">
        <v>27.53</v>
      </c>
      <c r="K574" s="32">
        <v>27.53</v>
      </c>
      <c r="L574" s="32">
        <v>15.35</v>
      </c>
      <c r="M574" s="32">
        <v>12.18</v>
      </c>
      <c r="N574" s="1" t="s">
        <v>111</v>
      </c>
      <c r="O574" s="1" t="s">
        <v>112</v>
      </c>
    </row>
    <row r="575" spans="1:15" ht="18.95" customHeight="1" x14ac:dyDescent="0.25">
      <c r="A575" s="1" t="s">
        <v>849</v>
      </c>
      <c r="B575" s="30">
        <v>45761.5</v>
      </c>
      <c r="C575" s="1" t="s">
        <v>356</v>
      </c>
      <c r="D575" s="1" t="s">
        <v>357</v>
      </c>
      <c r="E575" s="1" t="s">
        <v>237</v>
      </c>
      <c r="F575" s="1" t="s">
        <v>238</v>
      </c>
      <c r="G575" s="1" t="s">
        <v>151</v>
      </c>
      <c r="H575" s="1" t="s">
        <v>76</v>
      </c>
      <c r="I575" s="31">
        <v>1</v>
      </c>
      <c r="J575" s="32">
        <v>17.43</v>
      </c>
      <c r="K575" s="32">
        <v>17.43</v>
      </c>
      <c r="L575" s="32">
        <v>9.25</v>
      </c>
      <c r="M575" s="32">
        <v>8.18</v>
      </c>
      <c r="N575" s="1" t="s">
        <v>111</v>
      </c>
      <c r="O575" s="1" t="s">
        <v>78</v>
      </c>
    </row>
    <row r="576" spans="1:15" ht="18.95" customHeight="1" x14ac:dyDescent="0.25">
      <c r="A576" s="1" t="s">
        <v>850</v>
      </c>
      <c r="B576" s="30">
        <v>45762.5</v>
      </c>
      <c r="C576" s="1" t="s">
        <v>691</v>
      </c>
      <c r="D576" s="1" t="s">
        <v>692</v>
      </c>
      <c r="E576" s="1" t="s">
        <v>183</v>
      </c>
      <c r="F576" s="1" t="s">
        <v>137</v>
      </c>
      <c r="G576" s="1" t="s">
        <v>143</v>
      </c>
      <c r="H576" s="1" t="s">
        <v>128</v>
      </c>
      <c r="I576" s="31">
        <v>1</v>
      </c>
      <c r="J576" s="32">
        <v>96.89</v>
      </c>
      <c r="K576" s="32">
        <v>96.89</v>
      </c>
      <c r="L576" s="32">
        <v>77.17</v>
      </c>
      <c r="M576" s="32">
        <v>19.72</v>
      </c>
      <c r="N576" s="1" t="s">
        <v>315</v>
      </c>
      <c r="O576" s="1" t="s">
        <v>112</v>
      </c>
    </row>
    <row r="577" spans="1:15" ht="18.95" customHeight="1" x14ac:dyDescent="0.25">
      <c r="A577" s="1" t="s">
        <v>850</v>
      </c>
      <c r="B577" s="30">
        <v>45762.5</v>
      </c>
      <c r="C577" s="1" t="s">
        <v>691</v>
      </c>
      <c r="D577" s="1" t="s">
        <v>692</v>
      </c>
      <c r="E577" s="1" t="s">
        <v>183</v>
      </c>
      <c r="F577" s="1" t="s">
        <v>137</v>
      </c>
      <c r="G577" s="1" t="s">
        <v>306</v>
      </c>
      <c r="H577" s="1" t="s">
        <v>76</v>
      </c>
      <c r="I577" s="31">
        <v>3</v>
      </c>
      <c r="J577" s="32">
        <v>25.49</v>
      </c>
      <c r="K577" s="32">
        <v>76.47</v>
      </c>
      <c r="L577" s="32">
        <v>41.12</v>
      </c>
      <c r="M577" s="32">
        <v>35.35</v>
      </c>
      <c r="N577" s="1" t="s">
        <v>315</v>
      </c>
      <c r="O577" s="1" t="s">
        <v>112</v>
      </c>
    </row>
    <row r="578" spans="1:15" ht="18.95" customHeight="1" x14ac:dyDescent="0.25">
      <c r="A578" s="1" t="s">
        <v>850</v>
      </c>
      <c r="B578" s="30">
        <v>45762.5</v>
      </c>
      <c r="C578" s="1" t="s">
        <v>691</v>
      </c>
      <c r="D578" s="1" t="s">
        <v>692</v>
      </c>
      <c r="E578" s="1" t="s">
        <v>183</v>
      </c>
      <c r="F578" s="1" t="s">
        <v>137</v>
      </c>
      <c r="G578" s="1" t="s">
        <v>179</v>
      </c>
      <c r="H578" s="1" t="s">
        <v>128</v>
      </c>
      <c r="I578" s="31">
        <v>1</v>
      </c>
      <c r="J578" s="32">
        <v>40.79</v>
      </c>
      <c r="K578" s="32">
        <v>40.79</v>
      </c>
      <c r="L578" s="32">
        <v>24.37</v>
      </c>
      <c r="M578" s="32">
        <v>16.420000000000002</v>
      </c>
      <c r="N578" s="1" t="s">
        <v>315</v>
      </c>
      <c r="O578" s="1" t="s">
        <v>112</v>
      </c>
    </row>
    <row r="579" spans="1:15" ht="18.95" customHeight="1" x14ac:dyDescent="0.25">
      <c r="A579" s="1" t="s">
        <v>851</v>
      </c>
      <c r="B579" s="30">
        <v>45764.5</v>
      </c>
      <c r="C579" s="1" t="s">
        <v>852</v>
      </c>
      <c r="D579" s="1" t="s">
        <v>853</v>
      </c>
      <c r="E579" s="1" t="s">
        <v>97</v>
      </c>
      <c r="F579" s="1" t="s">
        <v>91</v>
      </c>
      <c r="G579" s="1" t="s">
        <v>92</v>
      </c>
      <c r="H579" s="1" t="s">
        <v>93</v>
      </c>
      <c r="I579" s="31">
        <v>1</v>
      </c>
      <c r="J579" s="32">
        <v>71.39</v>
      </c>
      <c r="K579" s="32">
        <v>71.39</v>
      </c>
      <c r="L579" s="32">
        <v>47.26</v>
      </c>
      <c r="M579" s="32">
        <v>24.13</v>
      </c>
      <c r="N579" s="1" t="s">
        <v>77</v>
      </c>
      <c r="O579" s="1" t="s">
        <v>78</v>
      </c>
    </row>
    <row r="580" spans="1:15" ht="18.95" customHeight="1" x14ac:dyDescent="0.25">
      <c r="A580" s="1" t="s">
        <v>854</v>
      </c>
      <c r="B580" s="30">
        <v>45765.5</v>
      </c>
      <c r="C580" s="1" t="s">
        <v>245</v>
      </c>
      <c r="D580" s="1" t="s">
        <v>246</v>
      </c>
      <c r="E580" s="1" t="s">
        <v>104</v>
      </c>
      <c r="F580" s="1" t="s">
        <v>105</v>
      </c>
      <c r="G580" s="1" t="s">
        <v>84</v>
      </c>
      <c r="H580" s="1" t="s">
        <v>85</v>
      </c>
      <c r="I580" s="31">
        <v>3</v>
      </c>
      <c r="J580" s="32">
        <v>9.17</v>
      </c>
      <c r="K580" s="32">
        <v>27.51</v>
      </c>
      <c r="L580" s="32">
        <v>12.19</v>
      </c>
      <c r="M580" s="32">
        <v>15.32</v>
      </c>
      <c r="N580" s="1" t="s">
        <v>117</v>
      </c>
      <c r="O580" s="1" t="s">
        <v>78</v>
      </c>
    </row>
    <row r="581" spans="1:15" ht="18.95" customHeight="1" x14ac:dyDescent="0.25">
      <c r="A581" s="1" t="s">
        <v>854</v>
      </c>
      <c r="B581" s="30">
        <v>45765.5</v>
      </c>
      <c r="C581" s="1" t="s">
        <v>245</v>
      </c>
      <c r="D581" s="1" t="s">
        <v>246</v>
      </c>
      <c r="E581" s="1" t="s">
        <v>104</v>
      </c>
      <c r="F581" s="1" t="s">
        <v>105</v>
      </c>
      <c r="G581" s="1" t="s">
        <v>230</v>
      </c>
      <c r="H581" s="1" t="s">
        <v>128</v>
      </c>
      <c r="I581" s="31">
        <v>1</v>
      </c>
      <c r="J581" s="32">
        <v>45.89</v>
      </c>
      <c r="K581" s="32">
        <v>45.89</v>
      </c>
      <c r="L581" s="32">
        <v>29.01</v>
      </c>
      <c r="M581" s="32">
        <v>16.88</v>
      </c>
      <c r="N581" s="1" t="s">
        <v>117</v>
      </c>
      <c r="O581" s="1" t="s">
        <v>78</v>
      </c>
    </row>
    <row r="582" spans="1:15" ht="18.95" customHeight="1" x14ac:dyDescent="0.25">
      <c r="A582" s="1" t="s">
        <v>855</v>
      </c>
      <c r="B582" s="30">
        <v>45767.5</v>
      </c>
      <c r="C582" s="1" t="s">
        <v>359</v>
      </c>
      <c r="D582" s="1" t="s">
        <v>360</v>
      </c>
      <c r="E582" s="1" t="s">
        <v>212</v>
      </c>
      <c r="F582" s="1" t="s">
        <v>83</v>
      </c>
      <c r="G582" s="1" t="s">
        <v>138</v>
      </c>
      <c r="H582" s="1" t="s">
        <v>99</v>
      </c>
      <c r="I582" s="31">
        <v>1</v>
      </c>
      <c r="J582" s="32">
        <v>33.909999999999997</v>
      </c>
      <c r="K582" s="32">
        <v>33.909999999999997</v>
      </c>
      <c r="L582" s="32">
        <v>22.11</v>
      </c>
      <c r="M582" s="32">
        <v>11.8</v>
      </c>
      <c r="N582" s="1" t="s">
        <v>86</v>
      </c>
      <c r="O582" s="1" t="s">
        <v>78</v>
      </c>
    </row>
    <row r="583" spans="1:15" ht="18.95" customHeight="1" x14ac:dyDescent="0.25">
      <c r="A583" s="1" t="s">
        <v>855</v>
      </c>
      <c r="B583" s="30">
        <v>45767.5</v>
      </c>
      <c r="C583" s="1" t="s">
        <v>359</v>
      </c>
      <c r="D583" s="1" t="s">
        <v>360</v>
      </c>
      <c r="E583" s="1" t="s">
        <v>212</v>
      </c>
      <c r="F583" s="1" t="s">
        <v>83</v>
      </c>
      <c r="G583" s="1" t="s">
        <v>106</v>
      </c>
      <c r="H583" s="1" t="s">
        <v>99</v>
      </c>
      <c r="I583" s="31">
        <v>2</v>
      </c>
      <c r="J583" s="32">
        <v>77.510000000000005</v>
      </c>
      <c r="K583" s="32">
        <v>155.02000000000001</v>
      </c>
      <c r="L583" s="32">
        <v>112.45</v>
      </c>
      <c r="M583" s="32">
        <v>42.57</v>
      </c>
      <c r="N583" s="1" t="s">
        <v>86</v>
      </c>
      <c r="O583" s="1" t="s">
        <v>78</v>
      </c>
    </row>
    <row r="584" spans="1:15" ht="18.95" customHeight="1" x14ac:dyDescent="0.25">
      <c r="A584" s="1" t="s">
        <v>856</v>
      </c>
      <c r="B584" s="30">
        <v>45767.5</v>
      </c>
      <c r="C584" s="1" t="s">
        <v>423</v>
      </c>
      <c r="D584" s="1" t="s">
        <v>424</v>
      </c>
      <c r="E584" s="1" t="s">
        <v>104</v>
      </c>
      <c r="F584" s="1" t="s">
        <v>105</v>
      </c>
      <c r="G584" s="1" t="s">
        <v>127</v>
      </c>
      <c r="H584" s="1" t="s">
        <v>128</v>
      </c>
      <c r="I584" s="31">
        <v>1</v>
      </c>
      <c r="J584" s="32">
        <v>25.49</v>
      </c>
      <c r="K584" s="32">
        <v>25.49</v>
      </c>
      <c r="L584" s="32">
        <v>15.35</v>
      </c>
      <c r="M584" s="32">
        <v>10.14</v>
      </c>
      <c r="N584" s="1" t="s">
        <v>86</v>
      </c>
      <c r="O584" s="1" t="s">
        <v>78</v>
      </c>
    </row>
    <row r="585" spans="1:15" ht="18.95" customHeight="1" x14ac:dyDescent="0.25">
      <c r="A585" s="1" t="s">
        <v>857</v>
      </c>
      <c r="B585" s="30">
        <v>45769.5</v>
      </c>
      <c r="C585" s="1" t="s">
        <v>108</v>
      </c>
      <c r="D585" s="1" t="s">
        <v>109</v>
      </c>
      <c r="E585" s="1" t="s">
        <v>74</v>
      </c>
      <c r="F585" s="1" t="s">
        <v>74</v>
      </c>
      <c r="G585" s="1" t="s">
        <v>259</v>
      </c>
      <c r="H585" s="1" t="s">
        <v>85</v>
      </c>
      <c r="I585" s="31">
        <v>1</v>
      </c>
      <c r="J585" s="32">
        <v>203.99</v>
      </c>
      <c r="K585" s="32">
        <v>203.99</v>
      </c>
      <c r="L585" s="32">
        <v>166.53</v>
      </c>
      <c r="M585" s="32">
        <v>37.46</v>
      </c>
      <c r="N585" s="1" t="s">
        <v>86</v>
      </c>
      <c r="O585" s="1" t="s">
        <v>112</v>
      </c>
    </row>
    <row r="586" spans="1:15" ht="18.95" customHeight="1" x14ac:dyDescent="0.25">
      <c r="A586" s="1" t="s">
        <v>857</v>
      </c>
      <c r="B586" s="30">
        <v>45769.5</v>
      </c>
      <c r="C586" s="1" t="s">
        <v>108</v>
      </c>
      <c r="D586" s="1" t="s">
        <v>109</v>
      </c>
      <c r="E586" s="1" t="s">
        <v>74</v>
      </c>
      <c r="F586" s="1" t="s">
        <v>74</v>
      </c>
      <c r="G586" s="1" t="s">
        <v>230</v>
      </c>
      <c r="H586" s="1" t="s">
        <v>128</v>
      </c>
      <c r="I586" s="31">
        <v>3</v>
      </c>
      <c r="J586" s="32">
        <v>45.89</v>
      </c>
      <c r="K586" s="32">
        <v>137.66999999999999</v>
      </c>
      <c r="L586" s="32">
        <v>90.47</v>
      </c>
      <c r="M586" s="32">
        <v>47.2</v>
      </c>
      <c r="N586" s="1" t="s">
        <v>86</v>
      </c>
      <c r="O586" s="1" t="s">
        <v>112</v>
      </c>
    </row>
    <row r="587" spans="1:15" ht="18.95" customHeight="1" x14ac:dyDescent="0.25">
      <c r="A587" s="1" t="s">
        <v>858</v>
      </c>
      <c r="B587" s="30">
        <v>45771.5</v>
      </c>
      <c r="C587" s="1" t="s">
        <v>204</v>
      </c>
      <c r="D587" s="1" t="s">
        <v>205</v>
      </c>
      <c r="E587" s="1" t="s">
        <v>164</v>
      </c>
      <c r="F587" s="1" t="s">
        <v>165</v>
      </c>
      <c r="G587" s="1" t="s">
        <v>155</v>
      </c>
      <c r="H587" s="1" t="s">
        <v>93</v>
      </c>
      <c r="I587" s="31">
        <v>3</v>
      </c>
      <c r="J587" s="32">
        <v>25.69</v>
      </c>
      <c r="K587" s="32">
        <v>77.069999999999993</v>
      </c>
      <c r="L587" s="32">
        <v>47.6</v>
      </c>
      <c r="M587" s="32">
        <v>29.47</v>
      </c>
      <c r="N587" s="1" t="s">
        <v>117</v>
      </c>
      <c r="O587" s="1" t="s">
        <v>118</v>
      </c>
    </row>
    <row r="588" spans="1:15" ht="18.95" customHeight="1" x14ac:dyDescent="0.25">
      <c r="A588" s="1" t="s">
        <v>859</v>
      </c>
      <c r="B588" s="30">
        <v>45772.5</v>
      </c>
      <c r="C588" s="1" t="s">
        <v>860</v>
      </c>
      <c r="D588" s="1" t="s">
        <v>861</v>
      </c>
      <c r="E588" s="1" t="s">
        <v>237</v>
      </c>
      <c r="F588" s="1" t="s">
        <v>238</v>
      </c>
      <c r="G588" s="1" t="s">
        <v>84</v>
      </c>
      <c r="H588" s="1" t="s">
        <v>85</v>
      </c>
      <c r="I588" s="31">
        <v>1</v>
      </c>
      <c r="J588" s="32">
        <v>8.25</v>
      </c>
      <c r="K588" s="32">
        <v>8.25</v>
      </c>
      <c r="L588" s="32">
        <v>4.22</v>
      </c>
      <c r="M588" s="32">
        <v>4.03</v>
      </c>
      <c r="N588" s="1" t="s">
        <v>117</v>
      </c>
      <c r="O588" s="1" t="s">
        <v>112</v>
      </c>
    </row>
    <row r="589" spans="1:15" ht="18.95" customHeight="1" x14ac:dyDescent="0.25">
      <c r="A589" s="1" t="s">
        <v>862</v>
      </c>
      <c r="B589" s="30">
        <v>45773.5</v>
      </c>
      <c r="C589" s="1" t="s">
        <v>299</v>
      </c>
      <c r="D589" s="1" t="s">
        <v>300</v>
      </c>
      <c r="E589" s="1" t="s">
        <v>174</v>
      </c>
      <c r="F589" s="1" t="s">
        <v>175</v>
      </c>
      <c r="G589" s="1" t="s">
        <v>179</v>
      </c>
      <c r="H589" s="1" t="s">
        <v>128</v>
      </c>
      <c r="I589" s="31">
        <v>2</v>
      </c>
      <c r="J589" s="32">
        <v>40.79</v>
      </c>
      <c r="K589" s="32">
        <v>81.58</v>
      </c>
      <c r="L589" s="32">
        <v>48.74</v>
      </c>
      <c r="M589" s="32">
        <v>32.840000000000003</v>
      </c>
      <c r="N589" s="1" t="s">
        <v>86</v>
      </c>
      <c r="O589" s="1" t="s">
        <v>112</v>
      </c>
    </row>
    <row r="590" spans="1:15" ht="18.95" customHeight="1" x14ac:dyDescent="0.25">
      <c r="A590" s="1" t="s">
        <v>863</v>
      </c>
      <c r="B590" s="30">
        <v>45776.5</v>
      </c>
      <c r="C590" s="1" t="s">
        <v>282</v>
      </c>
      <c r="D590" s="1" t="s">
        <v>283</v>
      </c>
      <c r="E590" s="1" t="s">
        <v>164</v>
      </c>
      <c r="F590" s="1" t="s">
        <v>165</v>
      </c>
      <c r="G590" s="1" t="s">
        <v>202</v>
      </c>
      <c r="H590" s="1" t="s">
        <v>85</v>
      </c>
      <c r="I590" s="31">
        <v>1</v>
      </c>
      <c r="J590" s="32">
        <v>6.93</v>
      </c>
      <c r="K590" s="32">
        <v>6.93</v>
      </c>
      <c r="L590" s="32">
        <v>4.2699999999999996</v>
      </c>
      <c r="M590" s="32">
        <v>2.66</v>
      </c>
      <c r="N590" s="1" t="s">
        <v>77</v>
      </c>
      <c r="O590" s="1" t="s">
        <v>78</v>
      </c>
    </row>
    <row r="591" spans="1:15" ht="18.95" customHeight="1" x14ac:dyDescent="0.25">
      <c r="A591" s="1" t="s">
        <v>864</v>
      </c>
      <c r="B591" s="30">
        <v>45777.5</v>
      </c>
      <c r="C591" s="1" t="s">
        <v>341</v>
      </c>
      <c r="D591" s="1" t="s">
        <v>342</v>
      </c>
      <c r="E591" s="1" t="s">
        <v>212</v>
      </c>
      <c r="F591" s="1" t="s">
        <v>83</v>
      </c>
      <c r="G591" s="1" t="s">
        <v>322</v>
      </c>
      <c r="H591" s="1" t="s">
        <v>128</v>
      </c>
      <c r="I591" s="31">
        <v>1</v>
      </c>
      <c r="J591" s="32">
        <v>52.01</v>
      </c>
      <c r="K591" s="32">
        <v>52.01</v>
      </c>
      <c r="L591" s="32">
        <v>42.52</v>
      </c>
      <c r="M591" s="32">
        <v>9.49</v>
      </c>
      <c r="N591" s="1" t="s">
        <v>117</v>
      </c>
      <c r="O591" s="1" t="s">
        <v>112</v>
      </c>
    </row>
    <row r="592" spans="1:15" ht="18.95" customHeight="1" x14ac:dyDescent="0.25">
      <c r="A592" s="1" t="s">
        <v>865</v>
      </c>
      <c r="B592" s="30">
        <v>45780.5</v>
      </c>
      <c r="C592" s="1" t="s">
        <v>866</v>
      </c>
      <c r="D592" s="1" t="s">
        <v>867</v>
      </c>
      <c r="E592" s="1" t="s">
        <v>97</v>
      </c>
      <c r="F592" s="1" t="s">
        <v>91</v>
      </c>
      <c r="G592" s="1" t="s">
        <v>179</v>
      </c>
      <c r="H592" s="1" t="s">
        <v>128</v>
      </c>
      <c r="I592" s="31">
        <v>2</v>
      </c>
      <c r="J592" s="32">
        <v>40.79</v>
      </c>
      <c r="K592" s="32">
        <v>81.58</v>
      </c>
      <c r="L592" s="32">
        <v>48.74</v>
      </c>
      <c r="M592" s="32">
        <v>32.840000000000003</v>
      </c>
      <c r="N592" s="1" t="s">
        <v>117</v>
      </c>
      <c r="O592" s="1" t="s">
        <v>112</v>
      </c>
    </row>
    <row r="593" spans="1:15" ht="18.95" customHeight="1" x14ac:dyDescent="0.25">
      <c r="A593" s="1" t="s">
        <v>865</v>
      </c>
      <c r="B593" s="30">
        <v>45780.5</v>
      </c>
      <c r="C593" s="1" t="s">
        <v>866</v>
      </c>
      <c r="D593" s="1" t="s">
        <v>867</v>
      </c>
      <c r="E593" s="1" t="s">
        <v>97</v>
      </c>
      <c r="F593" s="1" t="s">
        <v>91</v>
      </c>
      <c r="G593" s="1" t="s">
        <v>230</v>
      </c>
      <c r="H593" s="1" t="s">
        <v>128</v>
      </c>
      <c r="I593" s="31">
        <v>1</v>
      </c>
      <c r="J593" s="32">
        <v>45.89</v>
      </c>
      <c r="K593" s="32">
        <v>45.89</v>
      </c>
      <c r="L593" s="32">
        <v>30.16</v>
      </c>
      <c r="M593" s="32">
        <v>15.73</v>
      </c>
      <c r="N593" s="1" t="s">
        <v>117</v>
      </c>
      <c r="O593" s="1" t="s">
        <v>112</v>
      </c>
    </row>
    <row r="594" spans="1:15" ht="18.95" customHeight="1" x14ac:dyDescent="0.25">
      <c r="A594" s="1" t="s">
        <v>868</v>
      </c>
      <c r="B594" s="30">
        <v>45780.5</v>
      </c>
      <c r="C594" s="1" t="s">
        <v>663</v>
      </c>
      <c r="D594" s="1" t="s">
        <v>664</v>
      </c>
      <c r="E594" s="1" t="s">
        <v>183</v>
      </c>
      <c r="F594" s="1" t="s">
        <v>137</v>
      </c>
      <c r="G594" s="1" t="s">
        <v>143</v>
      </c>
      <c r="H594" s="1" t="s">
        <v>128</v>
      </c>
      <c r="I594" s="31">
        <v>3</v>
      </c>
      <c r="J594" s="32">
        <v>96.89</v>
      </c>
      <c r="K594" s="32">
        <v>290.67</v>
      </c>
      <c r="L594" s="32">
        <v>231.51</v>
      </c>
      <c r="M594" s="32">
        <v>59.16</v>
      </c>
      <c r="N594" s="1" t="s">
        <v>86</v>
      </c>
      <c r="O594" s="1" t="s">
        <v>112</v>
      </c>
    </row>
    <row r="595" spans="1:15" ht="18.95" customHeight="1" x14ac:dyDescent="0.25">
      <c r="A595" s="1" t="s">
        <v>869</v>
      </c>
      <c r="B595" s="30">
        <v>45781.5</v>
      </c>
      <c r="C595" s="1" t="s">
        <v>95</v>
      </c>
      <c r="D595" s="1" t="s">
        <v>96</v>
      </c>
      <c r="E595" s="1" t="s">
        <v>97</v>
      </c>
      <c r="F595" s="1" t="s">
        <v>91</v>
      </c>
      <c r="G595" s="1" t="s">
        <v>188</v>
      </c>
      <c r="H595" s="1" t="s">
        <v>76</v>
      </c>
      <c r="I595" s="31">
        <v>3</v>
      </c>
      <c r="J595" s="32">
        <v>78.02</v>
      </c>
      <c r="K595" s="32">
        <v>234.06</v>
      </c>
      <c r="L595" s="32">
        <v>186.94</v>
      </c>
      <c r="M595" s="32">
        <v>47.12</v>
      </c>
      <c r="N595" s="1" t="s">
        <v>315</v>
      </c>
      <c r="O595" s="1" t="s">
        <v>112</v>
      </c>
    </row>
    <row r="596" spans="1:15" ht="18.95" customHeight="1" x14ac:dyDescent="0.25">
      <c r="A596" s="1" t="s">
        <v>870</v>
      </c>
      <c r="B596" s="30">
        <v>45781.5</v>
      </c>
      <c r="C596" s="1" t="s">
        <v>596</v>
      </c>
      <c r="D596" s="1" t="s">
        <v>597</v>
      </c>
      <c r="E596" s="1" t="s">
        <v>104</v>
      </c>
      <c r="F596" s="1" t="s">
        <v>105</v>
      </c>
      <c r="G596" s="1" t="s">
        <v>116</v>
      </c>
      <c r="H596" s="1" t="s">
        <v>76</v>
      </c>
      <c r="I596" s="31">
        <v>3</v>
      </c>
      <c r="J596" s="32">
        <v>15.29</v>
      </c>
      <c r="K596" s="32">
        <v>45.87</v>
      </c>
      <c r="L596" s="32">
        <v>23.76</v>
      </c>
      <c r="M596" s="32">
        <v>22.11</v>
      </c>
      <c r="N596" s="1" t="s">
        <v>77</v>
      </c>
      <c r="O596" s="1" t="s">
        <v>118</v>
      </c>
    </row>
    <row r="597" spans="1:15" ht="18.95" customHeight="1" x14ac:dyDescent="0.25">
      <c r="A597" s="1" t="s">
        <v>871</v>
      </c>
      <c r="B597" s="30">
        <v>45784.5</v>
      </c>
      <c r="C597" s="1" t="s">
        <v>204</v>
      </c>
      <c r="D597" s="1" t="s">
        <v>205</v>
      </c>
      <c r="E597" s="1" t="s">
        <v>164</v>
      </c>
      <c r="F597" s="1" t="s">
        <v>165</v>
      </c>
      <c r="G597" s="1" t="s">
        <v>293</v>
      </c>
      <c r="H597" s="1" t="s">
        <v>99</v>
      </c>
      <c r="I597" s="31">
        <v>2</v>
      </c>
      <c r="J597" s="32">
        <v>106.58</v>
      </c>
      <c r="K597" s="32">
        <v>213.16</v>
      </c>
      <c r="L597" s="32">
        <v>163.55000000000001</v>
      </c>
      <c r="M597" s="32">
        <v>49.61</v>
      </c>
      <c r="N597" s="1" t="s">
        <v>77</v>
      </c>
      <c r="O597" s="1" t="s">
        <v>78</v>
      </c>
    </row>
    <row r="598" spans="1:15" ht="18.95" customHeight="1" x14ac:dyDescent="0.25">
      <c r="A598" s="1" t="s">
        <v>872</v>
      </c>
      <c r="B598" s="30">
        <v>45784.5</v>
      </c>
      <c r="C598" s="1" t="s">
        <v>108</v>
      </c>
      <c r="D598" s="1" t="s">
        <v>109</v>
      </c>
      <c r="E598" s="1" t="s">
        <v>74</v>
      </c>
      <c r="F598" s="1" t="s">
        <v>74</v>
      </c>
      <c r="G598" s="1" t="s">
        <v>138</v>
      </c>
      <c r="H598" s="1" t="s">
        <v>99</v>
      </c>
      <c r="I598" s="31">
        <v>1</v>
      </c>
      <c r="J598" s="32">
        <v>33.909999999999997</v>
      </c>
      <c r="K598" s="32">
        <v>33.909999999999997</v>
      </c>
      <c r="L598" s="32">
        <v>22.96</v>
      </c>
      <c r="M598" s="32">
        <v>10.95</v>
      </c>
      <c r="N598" s="1" t="s">
        <v>315</v>
      </c>
      <c r="O598" s="1" t="s">
        <v>112</v>
      </c>
    </row>
    <row r="599" spans="1:15" ht="18.95" customHeight="1" x14ac:dyDescent="0.25">
      <c r="A599" s="1" t="s">
        <v>873</v>
      </c>
      <c r="B599" s="30">
        <v>45784.5</v>
      </c>
      <c r="C599" s="1" t="s">
        <v>344</v>
      </c>
      <c r="D599" s="1" t="s">
        <v>345</v>
      </c>
      <c r="E599" s="1" t="s">
        <v>74</v>
      </c>
      <c r="F599" s="1" t="s">
        <v>74</v>
      </c>
      <c r="G599" s="1" t="s">
        <v>110</v>
      </c>
      <c r="H599" s="1" t="s">
        <v>85</v>
      </c>
      <c r="I599" s="31">
        <v>1</v>
      </c>
      <c r="J599" s="32">
        <v>11.92</v>
      </c>
      <c r="K599" s="32">
        <v>11.92</v>
      </c>
      <c r="L599" s="32">
        <v>6.19</v>
      </c>
      <c r="M599" s="32">
        <v>5.73</v>
      </c>
      <c r="N599" s="1" t="s">
        <v>86</v>
      </c>
      <c r="O599" s="1" t="s">
        <v>78</v>
      </c>
    </row>
    <row r="600" spans="1:15" ht="18.95" customHeight="1" x14ac:dyDescent="0.25">
      <c r="A600" s="1" t="s">
        <v>874</v>
      </c>
      <c r="B600" s="30">
        <v>45787.5</v>
      </c>
      <c r="C600" s="1" t="s">
        <v>875</v>
      </c>
      <c r="D600" s="1" t="s">
        <v>876</v>
      </c>
      <c r="E600" s="1" t="s">
        <v>212</v>
      </c>
      <c r="F600" s="1" t="s">
        <v>83</v>
      </c>
      <c r="G600" s="1" t="s">
        <v>84</v>
      </c>
      <c r="H600" s="1" t="s">
        <v>85</v>
      </c>
      <c r="I600" s="31">
        <v>3</v>
      </c>
      <c r="J600" s="32">
        <v>9.17</v>
      </c>
      <c r="K600" s="32">
        <v>27.51</v>
      </c>
      <c r="L600" s="32">
        <v>12.19</v>
      </c>
      <c r="M600" s="32">
        <v>15.32</v>
      </c>
      <c r="N600" s="1" t="s">
        <v>86</v>
      </c>
      <c r="O600" s="1" t="s">
        <v>78</v>
      </c>
    </row>
    <row r="601" spans="1:15" ht="18.95" customHeight="1" x14ac:dyDescent="0.25">
      <c r="A601" s="1" t="s">
        <v>877</v>
      </c>
      <c r="B601" s="30">
        <v>45787.5</v>
      </c>
      <c r="C601" s="1" t="s">
        <v>218</v>
      </c>
      <c r="D601" s="1" t="s">
        <v>219</v>
      </c>
      <c r="E601" s="1" t="s">
        <v>82</v>
      </c>
      <c r="F601" s="1" t="s">
        <v>83</v>
      </c>
      <c r="G601" s="1" t="s">
        <v>157</v>
      </c>
      <c r="H601" s="1" t="s">
        <v>93</v>
      </c>
      <c r="I601" s="31">
        <v>4</v>
      </c>
      <c r="J601" s="32">
        <v>19.37</v>
      </c>
      <c r="K601" s="32">
        <v>77.48</v>
      </c>
      <c r="L601" s="32">
        <v>39.97</v>
      </c>
      <c r="M601" s="32">
        <v>37.51</v>
      </c>
      <c r="N601" s="1" t="s">
        <v>111</v>
      </c>
      <c r="O601" s="1" t="s">
        <v>78</v>
      </c>
    </row>
    <row r="602" spans="1:15" ht="18.95" customHeight="1" x14ac:dyDescent="0.25">
      <c r="A602" s="1" t="s">
        <v>877</v>
      </c>
      <c r="B602" s="30">
        <v>45787.5</v>
      </c>
      <c r="C602" s="1" t="s">
        <v>218</v>
      </c>
      <c r="D602" s="1" t="s">
        <v>219</v>
      </c>
      <c r="E602" s="1" t="s">
        <v>82</v>
      </c>
      <c r="F602" s="1" t="s">
        <v>83</v>
      </c>
      <c r="G602" s="1" t="s">
        <v>116</v>
      </c>
      <c r="H602" s="1" t="s">
        <v>76</v>
      </c>
      <c r="I602" s="31">
        <v>1</v>
      </c>
      <c r="J602" s="32">
        <v>15.29</v>
      </c>
      <c r="K602" s="32">
        <v>15.29</v>
      </c>
      <c r="L602" s="32">
        <v>6.93</v>
      </c>
      <c r="M602" s="32">
        <v>8.36</v>
      </c>
      <c r="N602" s="1" t="s">
        <v>111</v>
      </c>
      <c r="O602" s="1" t="s">
        <v>78</v>
      </c>
    </row>
    <row r="603" spans="1:15" ht="18.95" customHeight="1" x14ac:dyDescent="0.25">
      <c r="A603" s="1" t="s">
        <v>878</v>
      </c>
      <c r="B603" s="30">
        <v>45788.5</v>
      </c>
      <c r="C603" s="1" t="s">
        <v>571</v>
      </c>
      <c r="D603" s="1" t="s">
        <v>572</v>
      </c>
      <c r="E603" s="1" t="s">
        <v>174</v>
      </c>
      <c r="F603" s="1" t="s">
        <v>175</v>
      </c>
      <c r="G603" s="1" t="s">
        <v>188</v>
      </c>
      <c r="H603" s="1" t="s">
        <v>76</v>
      </c>
      <c r="I603" s="31">
        <v>1</v>
      </c>
      <c r="J603" s="32">
        <v>69.349999999999994</v>
      </c>
      <c r="K603" s="32">
        <v>69.349999999999994</v>
      </c>
      <c r="L603" s="32">
        <v>64.39</v>
      </c>
      <c r="M603" s="32">
        <v>4.96</v>
      </c>
      <c r="N603" s="1" t="s">
        <v>117</v>
      </c>
      <c r="O603" s="1" t="s">
        <v>118</v>
      </c>
    </row>
    <row r="604" spans="1:15" ht="18.95" customHeight="1" x14ac:dyDescent="0.25">
      <c r="A604" s="1" t="s">
        <v>879</v>
      </c>
      <c r="B604" s="30">
        <v>45789.5</v>
      </c>
      <c r="C604" s="1" t="s">
        <v>816</v>
      </c>
      <c r="D604" s="1" t="s">
        <v>817</v>
      </c>
      <c r="E604" s="1" t="s">
        <v>104</v>
      </c>
      <c r="F604" s="1" t="s">
        <v>105</v>
      </c>
      <c r="G604" s="1" t="s">
        <v>213</v>
      </c>
      <c r="H604" s="1" t="s">
        <v>93</v>
      </c>
      <c r="I604" s="31">
        <v>1</v>
      </c>
      <c r="J604" s="32">
        <v>33.65</v>
      </c>
      <c r="K604" s="32">
        <v>33.65</v>
      </c>
      <c r="L604" s="32">
        <v>21.12</v>
      </c>
      <c r="M604" s="32">
        <v>12.53</v>
      </c>
      <c r="N604" s="1" t="s">
        <v>117</v>
      </c>
      <c r="O604" s="1" t="s">
        <v>118</v>
      </c>
    </row>
    <row r="605" spans="1:15" ht="18.95" customHeight="1" x14ac:dyDescent="0.25">
      <c r="A605" s="1" t="s">
        <v>880</v>
      </c>
      <c r="B605" s="30">
        <v>45789.5</v>
      </c>
      <c r="C605" s="1" t="s">
        <v>658</v>
      </c>
      <c r="D605" s="1" t="s">
        <v>659</v>
      </c>
      <c r="E605" s="1" t="s">
        <v>90</v>
      </c>
      <c r="F605" s="1" t="s">
        <v>91</v>
      </c>
      <c r="G605" s="1" t="s">
        <v>306</v>
      </c>
      <c r="H605" s="1" t="s">
        <v>76</v>
      </c>
      <c r="I605" s="31">
        <v>3</v>
      </c>
      <c r="J605" s="32">
        <v>25.49</v>
      </c>
      <c r="K605" s="32">
        <v>76.47</v>
      </c>
      <c r="L605" s="32">
        <v>41.12</v>
      </c>
      <c r="M605" s="32">
        <v>35.35</v>
      </c>
      <c r="N605" s="1" t="s">
        <v>111</v>
      </c>
      <c r="O605" s="1" t="s">
        <v>112</v>
      </c>
    </row>
    <row r="606" spans="1:15" ht="18.95" customHeight="1" x14ac:dyDescent="0.25">
      <c r="A606" s="1" t="s">
        <v>880</v>
      </c>
      <c r="B606" s="30">
        <v>45789.5</v>
      </c>
      <c r="C606" s="1" t="s">
        <v>658</v>
      </c>
      <c r="D606" s="1" t="s">
        <v>659</v>
      </c>
      <c r="E606" s="1" t="s">
        <v>90</v>
      </c>
      <c r="F606" s="1" t="s">
        <v>91</v>
      </c>
      <c r="G606" s="1" t="s">
        <v>230</v>
      </c>
      <c r="H606" s="1" t="s">
        <v>128</v>
      </c>
      <c r="I606" s="31">
        <v>1</v>
      </c>
      <c r="J606" s="32">
        <v>45.89</v>
      </c>
      <c r="K606" s="32">
        <v>45.89</v>
      </c>
      <c r="L606" s="32">
        <v>30.16</v>
      </c>
      <c r="M606" s="32">
        <v>15.73</v>
      </c>
      <c r="N606" s="1" t="s">
        <v>111</v>
      </c>
      <c r="O606" s="1" t="s">
        <v>112</v>
      </c>
    </row>
    <row r="607" spans="1:15" ht="18.95" customHeight="1" x14ac:dyDescent="0.25">
      <c r="A607" s="1" t="s">
        <v>880</v>
      </c>
      <c r="B607" s="30">
        <v>45789.5</v>
      </c>
      <c r="C607" s="1" t="s">
        <v>658</v>
      </c>
      <c r="D607" s="1" t="s">
        <v>659</v>
      </c>
      <c r="E607" s="1" t="s">
        <v>90</v>
      </c>
      <c r="F607" s="1" t="s">
        <v>91</v>
      </c>
      <c r="G607" s="1" t="s">
        <v>138</v>
      </c>
      <c r="H607" s="1" t="s">
        <v>99</v>
      </c>
      <c r="I607" s="31">
        <v>1</v>
      </c>
      <c r="J607" s="32">
        <v>35.69</v>
      </c>
      <c r="K607" s="32">
        <v>35.69</v>
      </c>
      <c r="L607" s="32">
        <v>23.1</v>
      </c>
      <c r="M607" s="32">
        <v>12.59</v>
      </c>
      <c r="N607" s="1" t="s">
        <v>111</v>
      </c>
      <c r="O607" s="1" t="s">
        <v>112</v>
      </c>
    </row>
    <row r="608" spans="1:15" ht="18.95" customHeight="1" x14ac:dyDescent="0.25">
      <c r="A608" s="1" t="s">
        <v>881</v>
      </c>
      <c r="B608" s="30">
        <v>45789.5</v>
      </c>
      <c r="C608" s="1" t="s">
        <v>882</v>
      </c>
      <c r="D608" s="1" t="s">
        <v>883</v>
      </c>
      <c r="E608" s="1" t="s">
        <v>82</v>
      </c>
      <c r="F608" s="1" t="s">
        <v>83</v>
      </c>
      <c r="G608" s="1" t="s">
        <v>92</v>
      </c>
      <c r="H608" s="1" t="s">
        <v>93</v>
      </c>
      <c r="I608" s="31">
        <v>3</v>
      </c>
      <c r="J608" s="32">
        <v>67.819999999999993</v>
      </c>
      <c r="K608" s="32">
        <v>203.46</v>
      </c>
      <c r="L608" s="32">
        <v>146.28</v>
      </c>
      <c r="M608" s="32">
        <v>57.18</v>
      </c>
      <c r="N608" s="1" t="s">
        <v>117</v>
      </c>
      <c r="O608" s="1" t="s">
        <v>112</v>
      </c>
    </row>
    <row r="609" spans="1:15" ht="18.95" customHeight="1" x14ac:dyDescent="0.25">
      <c r="A609" s="1" t="s">
        <v>881</v>
      </c>
      <c r="B609" s="30">
        <v>45789.5</v>
      </c>
      <c r="C609" s="1" t="s">
        <v>882</v>
      </c>
      <c r="D609" s="1" t="s">
        <v>883</v>
      </c>
      <c r="E609" s="1" t="s">
        <v>82</v>
      </c>
      <c r="F609" s="1" t="s">
        <v>83</v>
      </c>
      <c r="G609" s="1" t="s">
        <v>84</v>
      </c>
      <c r="H609" s="1" t="s">
        <v>85</v>
      </c>
      <c r="I609" s="31">
        <v>2</v>
      </c>
      <c r="J609" s="32">
        <v>9.17</v>
      </c>
      <c r="K609" s="32">
        <v>18.34</v>
      </c>
      <c r="L609" s="32">
        <v>8.58</v>
      </c>
      <c r="M609" s="32">
        <v>9.76</v>
      </c>
      <c r="N609" s="1" t="s">
        <v>117</v>
      </c>
      <c r="O609" s="1" t="s">
        <v>112</v>
      </c>
    </row>
    <row r="610" spans="1:15" ht="18.95" customHeight="1" x14ac:dyDescent="0.25">
      <c r="A610" s="1" t="s">
        <v>884</v>
      </c>
      <c r="B610" s="30">
        <v>45789.5</v>
      </c>
      <c r="C610" s="1" t="s">
        <v>221</v>
      </c>
      <c r="D610" s="1" t="s">
        <v>222</v>
      </c>
      <c r="E610" s="1" t="s">
        <v>183</v>
      </c>
      <c r="F610" s="1" t="s">
        <v>137</v>
      </c>
      <c r="G610" s="1" t="s">
        <v>207</v>
      </c>
      <c r="H610" s="1" t="s">
        <v>85</v>
      </c>
      <c r="I610" s="31">
        <v>1</v>
      </c>
      <c r="J610" s="32">
        <v>110.15</v>
      </c>
      <c r="K610" s="32">
        <v>110.15</v>
      </c>
      <c r="L610" s="32">
        <v>90.09</v>
      </c>
      <c r="M610" s="32">
        <v>20.059999999999999</v>
      </c>
      <c r="N610" s="1" t="s">
        <v>77</v>
      </c>
      <c r="O610" s="1" t="s">
        <v>78</v>
      </c>
    </row>
    <row r="611" spans="1:15" ht="18.95" customHeight="1" x14ac:dyDescent="0.25">
      <c r="A611" s="1" t="s">
        <v>885</v>
      </c>
      <c r="B611" s="30">
        <v>45790.5</v>
      </c>
      <c r="C611" s="1" t="s">
        <v>805</v>
      </c>
      <c r="D611" s="1" t="s">
        <v>806</v>
      </c>
      <c r="E611" s="1" t="s">
        <v>82</v>
      </c>
      <c r="F611" s="1" t="s">
        <v>83</v>
      </c>
      <c r="G611" s="1" t="s">
        <v>143</v>
      </c>
      <c r="H611" s="1" t="s">
        <v>128</v>
      </c>
      <c r="I611" s="31">
        <v>1</v>
      </c>
      <c r="J611" s="32">
        <v>96.89</v>
      </c>
      <c r="K611" s="32">
        <v>96.89</v>
      </c>
      <c r="L611" s="32">
        <v>74.75</v>
      </c>
      <c r="M611" s="32">
        <v>22.14</v>
      </c>
      <c r="N611" s="1" t="s">
        <v>86</v>
      </c>
      <c r="O611" s="1" t="s">
        <v>78</v>
      </c>
    </row>
    <row r="612" spans="1:15" ht="18.95" customHeight="1" x14ac:dyDescent="0.25">
      <c r="A612" s="1" t="s">
        <v>885</v>
      </c>
      <c r="B612" s="30">
        <v>45790.5</v>
      </c>
      <c r="C612" s="1" t="s">
        <v>805</v>
      </c>
      <c r="D612" s="1" t="s">
        <v>806</v>
      </c>
      <c r="E612" s="1" t="s">
        <v>82</v>
      </c>
      <c r="F612" s="1" t="s">
        <v>83</v>
      </c>
      <c r="G612" s="1" t="s">
        <v>184</v>
      </c>
      <c r="H612" s="1" t="s">
        <v>99</v>
      </c>
      <c r="I612" s="31">
        <v>1</v>
      </c>
      <c r="J612" s="32">
        <v>173.39</v>
      </c>
      <c r="K612" s="32">
        <v>173.39</v>
      </c>
      <c r="L612" s="32">
        <v>138.94</v>
      </c>
      <c r="M612" s="32">
        <v>34.450000000000003</v>
      </c>
      <c r="N612" s="1" t="s">
        <v>86</v>
      </c>
      <c r="O612" s="1" t="s">
        <v>78</v>
      </c>
    </row>
    <row r="613" spans="1:15" ht="18.95" customHeight="1" x14ac:dyDescent="0.25">
      <c r="A613" s="1" t="s">
        <v>886</v>
      </c>
      <c r="B613" s="30">
        <v>45790.5</v>
      </c>
      <c r="C613" s="1" t="s">
        <v>123</v>
      </c>
      <c r="D613" s="1" t="s">
        <v>124</v>
      </c>
      <c r="E613" s="1" t="s">
        <v>125</v>
      </c>
      <c r="F613" s="1" t="s">
        <v>126</v>
      </c>
      <c r="G613" s="1" t="s">
        <v>230</v>
      </c>
      <c r="H613" s="1" t="s">
        <v>128</v>
      </c>
      <c r="I613" s="31">
        <v>1</v>
      </c>
      <c r="J613" s="32">
        <v>43.6</v>
      </c>
      <c r="K613" s="32">
        <v>43.6</v>
      </c>
      <c r="L613" s="32">
        <v>31.72</v>
      </c>
      <c r="M613" s="32">
        <v>11.88</v>
      </c>
      <c r="N613" s="1" t="s">
        <v>77</v>
      </c>
      <c r="O613" s="1" t="s">
        <v>118</v>
      </c>
    </row>
    <row r="614" spans="1:15" ht="18.95" customHeight="1" x14ac:dyDescent="0.25">
      <c r="A614" s="1" t="s">
        <v>887</v>
      </c>
      <c r="B614" s="30">
        <v>45791.5</v>
      </c>
      <c r="C614" s="1" t="s">
        <v>420</v>
      </c>
      <c r="D614" s="1" t="s">
        <v>421</v>
      </c>
      <c r="E614" s="1" t="s">
        <v>74</v>
      </c>
      <c r="F614" s="1" t="s">
        <v>74</v>
      </c>
      <c r="G614" s="1" t="s">
        <v>195</v>
      </c>
      <c r="H614" s="1" t="s">
        <v>128</v>
      </c>
      <c r="I614" s="31">
        <v>1</v>
      </c>
      <c r="J614" s="32">
        <v>142.79</v>
      </c>
      <c r="K614" s="32">
        <v>142.79</v>
      </c>
      <c r="L614" s="32">
        <v>112.31</v>
      </c>
      <c r="M614" s="32">
        <v>30.48</v>
      </c>
      <c r="N614" s="1" t="s">
        <v>315</v>
      </c>
      <c r="O614" s="1" t="s">
        <v>112</v>
      </c>
    </row>
    <row r="615" spans="1:15" ht="18.95" customHeight="1" x14ac:dyDescent="0.25">
      <c r="A615" s="1" t="s">
        <v>887</v>
      </c>
      <c r="B615" s="30">
        <v>45791.5</v>
      </c>
      <c r="C615" s="1" t="s">
        <v>420</v>
      </c>
      <c r="D615" s="1" t="s">
        <v>421</v>
      </c>
      <c r="E615" s="1" t="s">
        <v>74</v>
      </c>
      <c r="F615" s="1" t="s">
        <v>74</v>
      </c>
      <c r="G615" s="1" t="s">
        <v>230</v>
      </c>
      <c r="H615" s="1" t="s">
        <v>128</v>
      </c>
      <c r="I615" s="31">
        <v>1</v>
      </c>
      <c r="J615" s="32">
        <v>43.6</v>
      </c>
      <c r="K615" s="32">
        <v>43.6</v>
      </c>
      <c r="L615" s="32">
        <v>29.97</v>
      </c>
      <c r="M615" s="32">
        <v>13.63</v>
      </c>
      <c r="N615" s="1" t="s">
        <v>315</v>
      </c>
      <c r="O615" s="1" t="s">
        <v>112</v>
      </c>
    </row>
    <row r="616" spans="1:15" ht="18.95" customHeight="1" x14ac:dyDescent="0.25">
      <c r="A616" s="1" t="s">
        <v>888</v>
      </c>
      <c r="B616" s="30">
        <v>45791.5</v>
      </c>
      <c r="C616" s="1" t="s">
        <v>889</v>
      </c>
      <c r="D616" s="1" t="s">
        <v>890</v>
      </c>
      <c r="E616" s="1" t="s">
        <v>136</v>
      </c>
      <c r="F616" s="1" t="s">
        <v>137</v>
      </c>
      <c r="G616" s="1" t="s">
        <v>127</v>
      </c>
      <c r="H616" s="1" t="s">
        <v>128</v>
      </c>
      <c r="I616" s="31">
        <v>3</v>
      </c>
      <c r="J616" s="32">
        <v>25.49</v>
      </c>
      <c r="K616" s="32">
        <v>76.47</v>
      </c>
      <c r="L616" s="32">
        <v>46.06</v>
      </c>
      <c r="M616" s="32">
        <v>30.41</v>
      </c>
      <c r="N616" s="1" t="s">
        <v>86</v>
      </c>
      <c r="O616" s="1" t="s">
        <v>78</v>
      </c>
    </row>
    <row r="617" spans="1:15" ht="18.95" customHeight="1" x14ac:dyDescent="0.25">
      <c r="A617" s="1" t="s">
        <v>888</v>
      </c>
      <c r="B617" s="30">
        <v>45791.5</v>
      </c>
      <c r="C617" s="1" t="s">
        <v>889</v>
      </c>
      <c r="D617" s="1" t="s">
        <v>890</v>
      </c>
      <c r="E617" s="1" t="s">
        <v>136</v>
      </c>
      <c r="F617" s="1" t="s">
        <v>137</v>
      </c>
      <c r="G617" s="1" t="s">
        <v>143</v>
      </c>
      <c r="H617" s="1" t="s">
        <v>128</v>
      </c>
      <c r="I617" s="31">
        <v>1</v>
      </c>
      <c r="J617" s="32">
        <v>96.89</v>
      </c>
      <c r="K617" s="32">
        <v>96.89</v>
      </c>
      <c r="L617" s="32">
        <v>74.75</v>
      </c>
      <c r="M617" s="32">
        <v>22.14</v>
      </c>
      <c r="N617" s="1" t="s">
        <v>86</v>
      </c>
      <c r="O617" s="1" t="s">
        <v>78</v>
      </c>
    </row>
    <row r="618" spans="1:15" ht="18.95" customHeight="1" x14ac:dyDescent="0.25">
      <c r="A618" s="1" t="s">
        <v>891</v>
      </c>
      <c r="B618" s="30">
        <v>45792.5</v>
      </c>
      <c r="C618" s="1" t="s">
        <v>626</v>
      </c>
      <c r="D618" s="1" t="s">
        <v>627</v>
      </c>
      <c r="E618" s="1" t="s">
        <v>97</v>
      </c>
      <c r="F618" s="1" t="s">
        <v>91</v>
      </c>
      <c r="G618" s="1" t="s">
        <v>110</v>
      </c>
      <c r="H618" s="1" t="s">
        <v>85</v>
      </c>
      <c r="I618" s="31">
        <v>1</v>
      </c>
      <c r="J618" s="32">
        <v>13.25</v>
      </c>
      <c r="K618" s="32">
        <v>13.25</v>
      </c>
      <c r="L618" s="32">
        <v>6.27</v>
      </c>
      <c r="M618" s="32">
        <v>6.98</v>
      </c>
      <c r="N618" s="1" t="s">
        <v>111</v>
      </c>
      <c r="O618" s="1" t="s">
        <v>78</v>
      </c>
    </row>
    <row r="619" spans="1:15" ht="18.95" customHeight="1" x14ac:dyDescent="0.25">
      <c r="A619" s="1" t="s">
        <v>892</v>
      </c>
      <c r="B619" s="30">
        <v>45793.5</v>
      </c>
      <c r="C619" s="1" t="s">
        <v>653</v>
      </c>
      <c r="D619" s="1" t="s">
        <v>654</v>
      </c>
      <c r="E619" s="1" t="s">
        <v>82</v>
      </c>
      <c r="F619" s="1" t="s">
        <v>83</v>
      </c>
      <c r="G619" s="1" t="s">
        <v>127</v>
      </c>
      <c r="H619" s="1" t="s">
        <v>128</v>
      </c>
      <c r="I619" s="31">
        <v>1</v>
      </c>
      <c r="J619" s="32">
        <v>25.49</v>
      </c>
      <c r="K619" s="32">
        <v>25.49</v>
      </c>
      <c r="L619" s="32">
        <v>15.35</v>
      </c>
      <c r="M619" s="32">
        <v>10.14</v>
      </c>
      <c r="N619" s="1" t="s">
        <v>86</v>
      </c>
      <c r="O619" s="1" t="s">
        <v>78</v>
      </c>
    </row>
    <row r="620" spans="1:15" ht="18.95" customHeight="1" x14ac:dyDescent="0.25">
      <c r="A620" s="1" t="s">
        <v>892</v>
      </c>
      <c r="B620" s="30">
        <v>45793.5</v>
      </c>
      <c r="C620" s="1" t="s">
        <v>653</v>
      </c>
      <c r="D620" s="1" t="s">
        <v>654</v>
      </c>
      <c r="E620" s="1" t="s">
        <v>82</v>
      </c>
      <c r="F620" s="1" t="s">
        <v>83</v>
      </c>
      <c r="G620" s="1" t="s">
        <v>110</v>
      </c>
      <c r="H620" s="1" t="s">
        <v>85</v>
      </c>
      <c r="I620" s="31">
        <v>2</v>
      </c>
      <c r="J620" s="32">
        <v>13.25</v>
      </c>
      <c r="K620" s="32">
        <v>26.5</v>
      </c>
      <c r="L620" s="32">
        <v>12.53</v>
      </c>
      <c r="M620" s="32">
        <v>13.97</v>
      </c>
      <c r="N620" s="1" t="s">
        <v>86</v>
      </c>
      <c r="O620" s="1" t="s">
        <v>78</v>
      </c>
    </row>
    <row r="621" spans="1:15" ht="18.95" customHeight="1" x14ac:dyDescent="0.25">
      <c r="A621" s="1" t="s">
        <v>892</v>
      </c>
      <c r="B621" s="30">
        <v>45793.5</v>
      </c>
      <c r="C621" s="1" t="s">
        <v>653</v>
      </c>
      <c r="D621" s="1" t="s">
        <v>654</v>
      </c>
      <c r="E621" s="1" t="s">
        <v>82</v>
      </c>
      <c r="F621" s="1" t="s">
        <v>83</v>
      </c>
      <c r="G621" s="1" t="s">
        <v>188</v>
      </c>
      <c r="H621" s="1" t="s">
        <v>76</v>
      </c>
      <c r="I621" s="31">
        <v>1</v>
      </c>
      <c r="J621" s="32">
        <v>69.349999999999994</v>
      </c>
      <c r="K621" s="32">
        <v>69.349999999999994</v>
      </c>
      <c r="L621" s="32">
        <v>59.89</v>
      </c>
      <c r="M621" s="32">
        <v>9.4600000000000009</v>
      </c>
      <c r="N621" s="1" t="s">
        <v>86</v>
      </c>
      <c r="O621" s="1" t="s">
        <v>78</v>
      </c>
    </row>
    <row r="622" spans="1:15" ht="18.95" customHeight="1" x14ac:dyDescent="0.25">
      <c r="A622" s="1" t="s">
        <v>893</v>
      </c>
      <c r="B622" s="30">
        <v>45793.5</v>
      </c>
      <c r="C622" s="1" t="s">
        <v>536</v>
      </c>
      <c r="D622" s="1" t="s">
        <v>537</v>
      </c>
      <c r="E622" s="1" t="s">
        <v>136</v>
      </c>
      <c r="F622" s="1" t="s">
        <v>137</v>
      </c>
      <c r="G622" s="1" t="s">
        <v>92</v>
      </c>
      <c r="H622" s="1" t="s">
        <v>93</v>
      </c>
      <c r="I622" s="31">
        <v>2</v>
      </c>
      <c r="J622" s="32">
        <v>71.39</v>
      </c>
      <c r="K622" s="32">
        <v>142.78</v>
      </c>
      <c r="L622" s="32">
        <v>94.52</v>
      </c>
      <c r="M622" s="32">
        <v>48.26</v>
      </c>
      <c r="N622" s="1" t="s">
        <v>86</v>
      </c>
      <c r="O622" s="1" t="s">
        <v>78</v>
      </c>
    </row>
    <row r="623" spans="1:15" ht="18.95" customHeight="1" x14ac:dyDescent="0.25">
      <c r="A623" s="1" t="s">
        <v>894</v>
      </c>
      <c r="B623" s="30">
        <v>45795.5</v>
      </c>
      <c r="C623" s="1" t="s">
        <v>623</v>
      </c>
      <c r="D623" s="1" t="s">
        <v>624</v>
      </c>
      <c r="E623" s="1" t="s">
        <v>90</v>
      </c>
      <c r="F623" s="1" t="s">
        <v>91</v>
      </c>
      <c r="G623" s="1" t="s">
        <v>202</v>
      </c>
      <c r="H623" s="1" t="s">
        <v>85</v>
      </c>
      <c r="I623" s="31">
        <v>2</v>
      </c>
      <c r="J623" s="32">
        <v>7.74</v>
      </c>
      <c r="K623" s="32">
        <v>15.48</v>
      </c>
      <c r="L623" s="32">
        <v>8.64</v>
      </c>
      <c r="M623" s="32">
        <v>6.84</v>
      </c>
      <c r="N623" s="1" t="s">
        <v>117</v>
      </c>
      <c r="O623" s="1" t="s">
        <v>78</v>
      </c>
    </row>
    <row r="624" spans="1:15" ht="18.95" customHeight="1" x14ac:dyDescent="0.25">
      <c r="A624" s="1" t="s">
        <v>894</v>
      </c>
      <c r="B624" s="30">
        <v>45795.5</v>
      </c>
      <c r="C624" s="1" t="s">
        <v>623</v>
      </c>
      <c r="D624" s="1" t="s">
        <v>624</v>
      </c>
      <c r="E624" s="1" t="s">
        <v>90</v>
      </c>
      <c r="F624" s="1" t="s">
        <v>91</v>
      </c>
      <c r="G624" s="1" t="s">
        <v>110</v>
      </c>
      <c r="H624" s="1" t="s">
        <v>85</v>
      </c>
      <c r="I624" s="31">
        <v>1</v>
      </c>
      <c r="J624" s="32">
        <v>12.59</v>
      </c>
      <c r="K624" s="32">
        <v>12.59</v>
      </c>
      <c r="L624" s="32">
        <v>6.23</v>
      </c>
      <c r="M624" s="32">
        <v>6.36</v>
      </c>
      <c r="N624" s="1" t="s">
        <v>117</v>
      </c>
      <c r="O624" s="1" t="s">
        <v>78</v>
      </c>
    </row>
    <row r="625" spans="1:15" ht="18.95" customHeight="1" x14ac:dyDescent="0.25">
      <c r="A625" s="1" t="s">
        <v>895</v>
      </c>
      <c r="B625" s="30">
        <v>45797.5</v>
      </c>
      <c r="C625" s="1" t="s">
        <v>551</v>
      </c>
      <c r="D625" s="1" t="s">
        <v>552</v>
      </c>
      <c r="E625" s="1" t="s">
        <v>193</v>
      </c>
      <c r="F625" s="1" t="s">
        <v>194</v>
      </c>
      <c r="G625" s="1" t="s">
        <v>98</v>
      </c>
      <c r="H625" s="1" t="s">
        <v>99</v>
      </c>
      <c r="I625" s="31">
        <v>1</v>
      </c>
      <c r="J625" s="32">
        <v>27.53</v>
      </c>
      <c r="K625" s="32">
        <v>27.53</v>
      </c>
      <c r="L625" s="32">
        <v>16.43</v>
      </c>
      <c r="M625" s="32">
        <v>11.1</v>
      </c>
      <c r="N625" s="1" t="s">
        <v>111</v>
      </c>
      <c r="O625" s="1" t="s">
        <v>78</v>
      </c>
    </row>
    <row r="626" spans="1:15" ht="18.95" customHeight="1" x14ac:dyDescent="0.25">
      <c r="A626" s="1" t="s">
        <v>896</v>
      </c>
      <c r="B626" s="30">
        <v>45799.5</v>
      </c>
      <c r="C626" s="1" t="s">
        <v>177</v>
      </c>
      <c r="D626" s="1" t="s">
        <v>178</v>
      </c>
      <c r="E626" s="1" t="s">
        <v>97</v>
      </c>
      <c r="F626" s="1" t="s">
        <v>91</v>
      </c>
      <c r="G626" s="1" t="s">
        <v>293</v>
      </c>
      <c r="H626" s="1" t="s">
        <v>99</v>
      </c>
      <c r="I626" s="31">
        <v>2</v>
      </c>
      <c r="J626" s="32">
        <v>106.58</v>
      </c>
      <c r="K626" s="32">
        <v>213.16</v>
      </c>
      <c r="L626" s="32">
        <v>177.41</v>
      </c>
      <c r="M626" s="32">
        <v>35.75</v>
      </c>
      <c r="N626" s="1" t="s">
        <v>117</v>
      </c>
      <c r="O626" s="1" t="s">
        <v>118</v>
      </c>
    </row>
    <row r="627" spans="1:15" ht="18.95" customHeight="1" x14ac:dyDescent="0.25">
      <c r="A627" s="1" t="s">
        <v>896</v>
      </c>
      <c r="B627" s="30">
        <v>45799.5</v>
      </c>
      <c r="C627" s="1" t="s">
        <v>177</v>
      </c>
      <c r="D627" s="1" t="s">
        <v>178</v>
      </c>
      <c r="E627" s="1" t="s">
        <v>97</v>
      </c>
      <c r="F627" s="1" t="s">
        <v>91</v>
      </c>
      <c r="G627" s="1" t="s">
        <v>106</v>
      </c>
      <c r="H627" s="1" t="s">
        <v>99</v>
      </c>
      <c r="I627" s="31">
        <v>1</v>
      </c>
      <c r="J627" s="32">
        <v>65.27</v>
      </c>
      <c r="K627" s="32">
        <v>65.27</v>
      </c>
      <c r="L627" s="32">
        <v>59.79</v>
      </c>
      <c r="M627" s="32">
        <v>5.48</v>
      </c>
      <c r="N627" s="1" t="s">
        <v>117</v>
      </c>
      <c r="O627" s="1" t="s">
        <v>118</v>
      </c>
    </row>
    <row r="628" spans="1:15" ht="18.95" customHeight="1" x14ac:dyDescent="0.25">
      <c r="A628" s="1" t="s">
        <v>897</v>
      </c>
      <c r="B628" s="30">
        <v>45799.5</v>
      </c>
      <c r="C628" s="1" t="s">
        <v>224</v>
      </c>
      <c r="D628" s="1" t="s">
        <v>225</v>
      </c>
      <c r="E628" s="1" t="s">
        <v>74</v>
      </c>
      <c r="F628" s="1" t="s">
        <v>74</v>
      </c>
      <c r="G628" s="1" t="s">
        <v>157</v>
      </c>
      <c r="H628" s="1" t="s">
        <v>93</v>
      </c>
      <c r="I628" s="31">
        <v>2</v>
      </c>
      <c r="J628" s="32">
        <v>20.39</v>
      </c>
      <c r="K628" s="32">
        <v>40.78</v>
      </c>
      <c r="L628" s="32">
        <v>20.100000000000001</v>
      </c>
      <c r="M628" s="32">
        <v>20.68</v>
      </c>
      <c r="N628" s="1" t="s">
        <v>77</v>
      </c>
      <c r="O628" s="1" t="s">
        <v>78</v>
      </c>
    </row>
    <row r="629" spans="1:15" ht="18.95" customHeight="1" x14ac:dyDescent="0.25">
      <c r="A629" s="1" t="s">
        <v>898</v>
      </c>
      <c r="B629" s="30">
        <v>45801.5</v>
      </c>
      <c r="C629" s="1" t="s">
        <v>563</v>
      </c>
      <c r="D629" s="1" t="s">
        <v>564</v>
      </c>
      <c r="E629" s="1" t="s">
        <v>150</v>
      </c>
      <c r="F629" s="1" t="s">
        <v>105</v>
      </c>
      <c r="G629" s="1" t="s">
        <v>189</v>
      </c>
      <c r="H629" s="1" t="s">
        <v>93</v>
      </c>
      <c r="I629" s="31">
        <v>2</v>
      </c>
      <c r="J629" s="32">
        <v>45.89</v>
      </c>
      <c r="K629" s="32">
        <v>91.78</v>
      </c>
      <c r="L629" s="32">
        <v>56.66</v>
      </c>
      <c r="M629" s="32">
        <v>35.119999999999997</v>
      </c>
      <c r="N629" s="1" t="s">
        <v>86</v>
      </c>
      <c r="O629" s="1" t="s">
        <v>112</v>
      </c>
    </row>
    <row r="630" spans="1:15" ht="18.95" customHeight="1" x14ac:dyDescent="0.25">
      <c r="A630" s="1" t="s">
        <v>899</v>
      </c>
      <c r="B630" s="30">
        <v>45801.5</v>
      </c>
      <c r="C630" s="1" t="s">
        <v>900</v>
      </c>
      <c r="D630" s="1" t="s">
        <v>901</v>
      </c>
      <c r="E630" s="1" t="s">
        <v>212</v>
      </c>
      <c r="F630" s="1" t="s">
        <v>83</v>
      </c>
      <c r="G630" s="1" t="s">
        <v>179</v>
      </c>
      <c r="H630" s="1" t="s">
        <v>128</v>
      </c>
      <c r="I630" s="31">
        <v>3</v>
      </c>
      <c r="J630" s="32">
        <v>40.79</v>
      </c>
      <c r="K630" s="32">
        <v>122.37</v>
      </c>
      <c r="L630" s="32">
        <v>71.27</v>
      </c>
      <c r="M630" s="32">
        <v>51.1</v>
      </c>
      <c r="N630" s="1" t="s">
        <v>117</v>
      </c>
      <c r="O630" s="1" t="s">
        <v>233</v>
      </c>
    </row>
    <row r="631" spans="1:15" ht="18.95" customHeight="1" x14ac:dyDescent="0.25">
      <c r="A631" s="1" t="s">
        <v>902</v>
      </c>
      <c r="B631" s="30">
        <v>45807.5</v>
      </c>
      <c r="C631" s="1" t="s">
        <v>512</v>
      </c>
      <c r="D631" s="1" t="s">
        <v>513</v>
      </c>
      <c r="E631" s="1" t="s">
        <v>97</v>
      </c>
      <c r="F631" s="1" t="s">
        <v>91</v>
      </c>
      <c r="G631" s="1" t="s">
        <v>306</v>
      </c>
      <c r="H631" s="1" t="s">
        <v>76</v>
      </c>
      <c r="I631" s="31">
        <v>4</v>
      </c>
      <c r="J631" s="32">
        <v>24.22</v>
      </c>
      <c r="K631" s="32">
        <v>96.88</v>
      </c>
      <c r="L631" s="32">
        <v>58.3</v>
      </c>
      <c r="M631" s="32">
        <v>38.58</v>
      </c>
      <c r="N631" s="1" t="s">
        <v>77</v>
      </c>
      <c r="O631" s="1" t="s">
        <v>118</v>
      </c>
    </row>
    <row r="632" spans="1:15" ht="18.95" customHeight="1" x14ac:dyDescent="0.25">
      <c r="A632" s="1" t="s">
        <v>902</v>
      </c>
      <c r="B632" s="30">
        <v>45807.5</v>
      </c>
      <c r="C632" s="1" t="s">
        <v>512</v>
      </c>
      <c r="D632" s="1" t="s">
        <v>513</v>
      </c>
      <c r="E632" s="1" t="s">
        <v>97</v>
      </c>
      <c r="F632" s="1" t="s">
        <v>91</v>
      </c>
      <c r="G632" s="1" t="s">
        <v>116</v>
      </c>
      <c r="H632" s="1" t="s">
        <v>76</v>
      </c>
      <c r="I632" s="31">
        <v>4</v>
      </c>
      <c r="J632" s="32">
        <v>13.76</v>
      </c>
      <c r="K632" s="32">
        <v>55.04</v>
      </c>
      <c r="L632" s="32">
        <v>30.95</v>
      </c>
      <c r="M632" s="32">
        <v>24.09</v>
      </c>
      <c r="N632" s="1" t="s">
        <v>77</v>
      </c>
      <c r="O632" s="1" t="s">
        <v>118</v>
      </c>
    </row>
    <row r="633" spans="1:15" ht="18.95" customHeight="1" x14ac:dyDescent="0.25">
      <c r="A633" s="1" t="s">
        <v>903</v>
      </c>
      <c r="B633" s="30">
        <v>45811.5</v>
      </c>
      <c r="C633" s="1" t="s">
        <v>691</v>
      </c>
      <c r="D633" s="1" t="s">
        <v>692</v>
      </c>
      <c r="E633" s="1" t="s">
        <v>183</v>
      </c>
      <c r="F633" s="1" t="s">
        <v>137</v>
      </c>
      <c r="G633" s="1" t="s">
        <v>127</v>
      </c>
      <c r="H633" s="1" t="s">
        <v>128</v>
      </c>
      <c r="I633" s="31">
        <v>1</v>
      </c>
      <c r="J633" s="32">
        <v>25.49</v>
      </c>
      <c r="K633" s="32">
        <v>25.49</v>
      </c>
      <c r="L633" s="32">
        <v>15.35</v>
      </c>
      <c r="M633" s="32">
        <v>10.14</v>
      </c>
      <c r="N633" s="1" t="s">
        <v>86</v>
      </c>
      <c r="O633" s="1" t="s">
        <v>78</v>
      </c>
    </row>
    <row r="634" spans="1:15" ht="18.95" customHeight="1" x14ac:dyDescent="0.25">
      <c r="A634" s="1" t="s">
        <v>904</v>
      </c>
      <c r="B634" s="30">
        <v>45811.5</v>
      </c>
      <c r="C634" s="1" t="s">
        <v>623</v>
      </c>
      <c r="D634" s="1" t="s">
        <v>624</v>
      </c>
      <c r="E634" s="1" t="s">
        <v>90</v>
      </c>
      <c r="F634" s="1" t="s">
        <v>91</v>
      </c>
      <c r="G634" s="1" t="s">
        <v>84</v>
      </c>
      <c r="H634" s="1" t="s">
        <v>85</v>
      </c>
      <c r="I634" s="31">
        <v>2</v>
      </c>
      <c r="J634" s="32">
        <v>9.17</v>
      </c>
      <c r="K634" s="32">
        <v>18.34</v>
      </c>
      <c r="L634" s="32">
        <v>8.1300000000000008</v>
      </c>
      <c r="M634" s="32">
        <v>10.210000000000001</v>
      </c>
      <c r="N634" s="1" t="s">
        <v>77</v>
      </c>
      <c r="O634" s="1" t="s">
        <v>78</v>
      </c>
    </row>
    <row r="635" spans="1:15" ht="18.95" customHeight="1" x14ac:dyDescent="0.25">
      <c r="A635" s="1" t="s">
        <v>905</v>
      </c>
      <c r="B635" s="30">
        <v>45813.5</v>
      </c>
      <c r="C635" s="1" t="s">
        <v>467</v>
      </c>
      <c r="D635" s="1" t="s">
        <v>468</v>
      </c>
      <c r="E635" s="1" t="s">
        <v>90</v>
      </c>
      <c r="F635" s="1" t="s">
        <v>91</v>
      </c>
      <c r="G635" s="1" t="s">
        <v>213</v>
      </c>
      <c r="H635" s="1" t="s">
        <v>93</v>
      </c>
      <c r="I635" s="31">
        <v>3</v>
      </c>
      <c r="J635" s="32">
        <v>31.97</v>
      </c>
      <c r="K635" s="32">
        <v>95.91</v>
      </c>
      <c r="L635" s="32">
        <v>56.51</v>
      </c>
      <c r="M635" s="32">
        <v>39.4</v>
      </c>
      <c r="N635" s="1" t="s">
        <v>77</v>
      </c>
      <c r="O635" s="1" t="s">
        <v>78</v>
      </c>
    </row>
    <row r="636" spans="1:15" ht="18.95" customHeight="1" x14ac:dyDescent="0.25">
      <c r="A636" s="1" t="s">
        <v>906</v>
      </c>
      <c r="B636" s="30">
        <v>45814.5</v>
      </c>
      <c r="C636" s="1" t="s">
        <v>95</v>
      </c>
      <c r="D636" s="1" t="s">
        <v>96</v>
      </c>
      <c r="E636" s="1" t="s">
        <v>97</v>
      </c>
      <c r="F636" s="1" t="s">
        <v>91</v>
      </c>
      <c r="G636" s="1" t="s">
        <v>202</v>
      </c>
      <c r="H636" s="1" t="s">
        <v>85</v>
      </c>
      <c r="I636" s="31">
        <v>1</v>
      </c>
      <c r="J636" s="32">
        <v>8.15</v>
      </c>
      <c r="K636" s="32">
        <v>8.15</v>
      </c>
      <c r="L636" s="32">
        <v>4.34</v>
      </c>
      <c r="M636" s="32">
        <v>3.81</v>
      </c>
      <c r="N636" s="1" t="s">
        <v>86</v>
      </c>
      <c r="O636" s="1" t="s">
        <v>78</v>
      </c>
    </row>
    <row r="637" spans="1:15" ht="18.95" customHeight="1" x14ac:dyDescent="0.25">
      <c r="A637" s="1" t="s">
        <v>906</v>
      </c>
      <c r="B637" s="30">
        <v>45814.5</v>
      </c>
      <c r="C637" s="1" t="s">
        <v>95</v>
      </c>
      <c r="D637" s="1" t="s">
        <v>96</v>
      </c>
      <c r="E637" s="1" t="s">
        <v>97</v>
      </c>
      <c r="F637" s="1" t="s">
        <v>91</v>
      </c>
      <c r="G637" s="1" t="s">
        <v>184</v>
      </c>
      <c r="H637" s="1" t="s">
        <v>99</v>
      </c>
      <c r="I637" s="31">
        <v>2</v>
      </c>
      <c r="J637" s="32">
        <v>173.39</v>
      </c>
      <c r="K637" s="32">
        <v>346.78</v>
      </c>
      <c r="L637" s="32">
        <v>277.88</v>
      </c>
      <c r="M637" s="32">
        <v>68.900000000000006</v>
      </c>
      <c r="N637" s="1" t="s">
        <v>86</v>
      </c>
      <c r="O637" s="1" t="s">
        <v>78</v>
      </c>
    </row>
    <row r="638" spans="1:15" ht="18.95" customHeight="1" x14ac:dyDescent="0.25">
      <c r="A638" s="1" t="s">
        <v>907</v>
      </c>
      <c r="B638" s="30">
        <v>45815.5</v>
      </c>
      <c r="C638" s="1" t="s">
        <v>80</v>
      </c>
      <c r="D638" s="1" t="s">
        <v>81</v>
      </c>
      <c r="E638" s="1" t="s">
        <v>82</v>
      </c>
      <c r="F638" s="1" t="s">
        <v>83</v>
      </c>
      <c r="G638" s="1" t="s">
        <v>92</v>
      </c>
      <c r="H638" s="1" t="s">
        <v>93</v>
      </c>
      <c r="I638" s="31">
        <v>4</v>
      </c>
      <c r="J638" s="32">
        <v>64.25</v>
      </c>
      <c r="K638" s="32">
        <v>257</v>
      </c>
      <c r="L638" s="32">
        <v>193.9</v>
      </c>
      <c r="M638" s="32">
        <v>63.1</v>
      </c>
      <c r="N638" s="1" t="s">
        <v>117</v>
      </c>
      <c r="O638" s="1" t="s">
        <v>112</v>
      </c>
    </row>
    <row r="639" spans="1:15" ht="18.95" customHeight="1" x14ac:dyDescent="0.25">
      <c r="A639" s="1" t="s">
        <v>908</v>
      </c>
      <c r="B639" s="30">
        <v>45816.5</v>
      </c>
      <c r="C639" s="1" t="s">
        <v>95</v>
      </c>
      <c r="D639" s="1" t="s">
        <v>96</v>
      </c>
      <c r="E639" s="1" t="s">
        <v>97</v>
      </c>
      <c r="F639" s="1" t="s">
        <v>91</v>
      </c>
      <c r="G639" s="1" t="s">
        <v>202</v>
      </c>
      <c r="H639" s="1" t="s">
        <v>85</v>
      </c>
      <c r="I639" s="31">
        <v>1</v>
      </c>
      <c r="J639" s="32">
        <v>7.74</v>
      </c>
      <c r="K639" s="32">
        <v>7.74</v>
      </c>
      <c r="L639" s="32">
        <v>4.32</v>
      </c>
      <c r="M639" s="32">
        <v>3.42</v>
      </c>
      <c r="N639" s="1" t="s">
        <v>86</v>
      </c>
      <c r="O639" s="1" t="s">
        <v>78</v>
      </c>
    </row>
    <row r="640" spans="1:15" ht="18.95" customHeight="1" x14ac:dyDescent="0.25">
      <c r="A640" s="1" t="s">
        <v>908</v>
      </c>
      <c r="B640" s="30">
        <v>45816.5</v>
      </c>
      <c r="C640" s="1" t="s">
        <v>95</v>
      </c>
      <c r="D640" s="1" t="s">
        <v>96</v>
      </c>
      <c r="E640" s="1" t="s">
        <v>97</v>
      </c>
      <c r="F640" s="1" t="s">
        <v>91</v>
      </c>
      <c r="G640" s="1" t="s">
        <v>155</v>
      </c>
      <c r="H640" s="1" t="s">
        <v>93</v>
      </c>
      <c r="I640" s="31">
        <v>6</v>
      </c>
      <c r="J640" s="32">
        <v>28.55</v>
      </c>
      <c r="K640" s="32">
        <v>171.3</v>
      </c>
      <c r="L640" s="32">
        <v>86.13</v>
      </c>
      <c r="M640" s="32">
        <v>85.17</v>
      </c>
      <c r="N640" s="1" t="s">
        <v>86</v>
      </c>
      <c r="O640" s="1" t="s">
        <v>78</v>
      </c>
    </row>
    <row r="641" spans="1:15" ht="18.95" customHeight="1" x14ac:dyDescent="0.25">
      <c r="A641" s="1" t="s">
        <v>909</v>
      </c>
      <c r="B641" s="30">
        <v>45816.5</v>
      </c>
      <c r="C641" s="1" t="s">
        <v>910</v>
      </c>
      <c r="D641" s="1" t="s">
        <v>911</v>
      </c>
      <c r="E641" s="1" t="s">
        <v>391</v>
      </c>
      <c r="F641" s="1" t="s">
        <v>170</v>
      </c>
      <c r="G641" s="1" t="s">
        <v>116</v>
      </c>
      <c r="H641" s="1" t="s">
        <v>76</v>
      </c>
      <c r="I641" s="31">
        <v>1</v>
      </c>
      <c r="J641" s="32">
        <v>15.29</v>
      </c>
      <c r="K641" s="32">
        <v>15.29</v>
      </c>
      <c r="L641" s="32">
        <v>6.93</v>
      </c>
      <c r="M641" s="32">
        <v>8.36</v>
      </c>
      <c r="N641" s="1" t="s">
        <v>86</v>
      </c>
      <c r="O641" s="1" t="s">
        <v>78</v>
      </c>
    </row>
    <row r="642" spans="1:15" ht="18.95" customHeight="1" x14ac:dyDescent="0.25">
      <c r="A642" s="1" t="s">
        <v>909</v>
      </c>
      <c r="B642" s="30">
        <v>45816.5</v>
      </c>
      <c r="C642" s="1" t="s">
        <v>910</v>
      </c>
      <c r="D642" s="1" t="s">
        <v>911</v>
      </c>
      <c r="E642" s="1" t="s">
        <v>391</v>
      </c>
      <c r="F642" s="1" t="s">
        <v>170</v>
      </c>
      <c r="G642" s="1" t="s">
        <v>226</v>
      </c>
      <c r="H642" s="1" t="s">
        <v>85</v>
      </c>
      <c r="I642" s="31">
        <v>1</v>
      </c>
      <c r="J642" s="32">
        <v>76.489999999999995</v>
      </c>
      <c r="K642" s="32">
        <v>76.489999999999995</v>
      </c>
      <c r="L642" s="32">
        <v>51.4</v>
      </c>
      <c r="M642" s="32">
        <v>25.09</v>
      </c>
      <c r="N642" s="1" t="s">
        <v>86</v>
      </c>
      <c r="O642" s="1" t="s">
        <v>78</v>
      </c>
    </row>
    <row r="643" spans="1:15" ht="18.95" customHeight="1" x14ac:dyDescent="0.25">
      <c r="A643" s="1" t="s">
        <v>909</v>
      </c>
      <c r="B643" s="30">
        <v>45816.5</v>
      </c>
      <c r="C643" s="1" t="s">
        <v>910</v>
      </c>
      <c r="D643" s="1" t="s">
        <v>911</v>
      </c>
      <c r="E643" s="1" t="s">
        <v>391</v>
      </c>
      <c r="F643" s="1" t="s">
        <v>170</v>
      </c>
      <c r="G643" s="1" t="s">
        <v>157</v>
      </c>
      <c r="H643" s="1" t="s">
        <v>93</v>
      </c>
      <c r="I643" s="31">
        <v>1</v>
      </c>
      <c r="J643" s="32">
        <v>20.39</v>
      </c>
      <c r="K643" s="32">
        <v>20.39</v>
      </c>
      <c r="L643" s="32">
        <v>10.050000000000001</v>
      </c>
      <c r="M643" s="32">
        <v>10.34</v>
      </c>
      <c r="N643" s="1" t="s">
        <v>86</v>
      </c>
      <c r="O643" s="1" t="s">
        <v>78</v>
      </c>
    </row>
    <row r="644" spans="1:15" ht="18.95" customHeight="1" x14ac:dyDescent="0.25">
      <c r="A644" s="1" t="s">
        <v>912</v>
      </c>
      <c r="B644" s="30">
        <v>45818.5</v>
      </c>
      <c r="C644" s="1" t="s">
        <v>257</v>
      </c>
      <c r="D644" s="1" t="s">
        <v>258</v>
      </c>
      <c r="E644" s="1" t="s">
        <v>212</v>
      </c>
      <c r="F644" s="1" t="s">
        <v>83</v>
      </c>
      <c r="G644" s="1" t="s">
        <v>92</v>
      </c>
      <c r="H644" s="1" t="s">
        <v>93</v>
      </c>
      <c r="I644" s="31">
        <v>3</v>
      </c>
      <c r="J644" s="32">
        <v>67.819999999999993</v>
      </c>
      <c r="K644" s="32">
        <v>203.46</v>
      </c>
      <c r="L644" s="32">
        <v>146.28</v>
      </c>
      <c r="M644" s="32">
        <v>57.18</v>
      </c>
      <c r="N644" s="1" t="s">
        <v>117</v>
      </c>
      <c r="O644" s="1" t="s">
        <v>112</v>
      </c>
    </row>
    <row r="645" spans="1:15" ht="18.95" customHeight="1" x14ac:dyDescent="0.25">
      <c r="A645" s="1" t="s">
        <v>912</v>
      </c>
      <c r="B645" s="30">
        <v>45818.5</v>
      </c>
      <c r="C645" s="1" t="s">
        <v>257</v>
      </c>
      <c r="D645" s="1" t="s">
        <v>258</v>
      </c>
      <c r="E645" s="1" t="s">
        <v>212</v>
      </c>
      <c r="F645" s="1" t="s">
        <v>83</v>
      </c>
      <c r="G645" s="1" t="s">
        <v>127</v>
      </c>
      <c r="H645" s="1" t="s">
        <v>128</v>
      </c>
      <c r="I645" s="31">
        <v>2</v>
      </c>
      <c r="J645" s="32">
        <v>25.49</v>
      </c>
      <c r="K645" s="32">
        <v>50.98</v>
      </c>
      <c r="L645" s="32">
        <v>31.98</v>
      </c>
      <c r="M645" s="32">
        <v>19</v>
      </c>
      <c r="N645" s="1" t="s">
        <v>117</v>
      </c>
      <c r="O645" s="1" t="s">
        <v>112</v>
      </c>
    </row>
    <row r="646" spans="1:15" ht="18.95" customHeight="1" x14ac:dyDescent="0.25">
      <c r="A646" s="1" t="s">
        <v>913</v>
      </c>
      <c r="B646" s="30">
        <v>45819.5</v>
      </c>
      <c r="C646" s="1" t="s">
        <v>852</v>
      </c>
      <c r="D646" s="1" t="s">
        <v>853</v>
      </c>
      <c r="E646" s="1" t="s">
        <v>97</v>
      </c>
      <c r="F646" s="1" t="s">
        <v>91</v>
      </c>
      <c r="G646" s="1" t="s">
        <v>319</v>
      </c>
      <c r="H646" s="1" t="s">
        <v>128</v>
      </c>
      <c r="I646" s="31">
        <v>2</v>
      </c>
      <c r="J646" s="32">
        <v>56.09</v>
      </c>
      <c r="K646" s="32">
        <v>112.18</v>
      </c>
      <c r="L646" s="32">
        <v>73.150000000000006</v>
      </c>
      <c r="M646" s="32">
        <v>39.03</v>
      </c>
      <c r="N646" s="1" t="s">
        <v>77</v>
      </c>
      <c r="O646" s="1" t="s">
        <v>78</v>
      </c>
    </row>
    <row r="647" spans="1:15" ht="18.95" customHeight="1" x14ac:dyDescent="0.25">
      <c r="A647" s="1" t="s">
        <v>913</v>
      </c>
      <c r="B647" s="30">
        <v>45819.5</v>
      </c>
      <c r="C647" s="1" t="s">
        <v>852</v>
      </c>
      <c r="D647" s="1" t="s">
        <v>853</v>
      </c>
      <c r="E647" s="1" t="s">
        <v>97</v>
      </c>
      <c r="F647" s="1" t="s">
        <v>91</v>
      </c>
      <c r="G647" s="1" t="s">
        <v>230</v>
      </c>
      <c r="H647" s="1" t="s">
        <v>128</v>
      </c>
      <c r="I647" s="31">
        <v>3</v>
      </c>
      <c r="J647" s="32">
        <v>45.89</v>
      </c>
      <c r="K647" s="32">
        <v>137.66999999999999</v>
      </c>
      <c r="L647" s="32">
        <v>87.03</v>
      </c>
      <c r="M647" s="32">
        <v>50.64</v>
      </c>
      <c r="N647" s="1" t="s">
        <v>77</v>
      </c>
      <c r="O647" s="1" t="s">
        <v>78</v>
      </c>
    </row>
    <row r="648" spans="1:15" ht="18.95" customHeight="1" x14ac:dyDescent="0.25">
      <c r="A648" s="1" t="s">
        <v>913</v>
      </c>
      <c r="B648" s="30">
        <v>45819.5</v>
      </c>
      <c r="C648" s="1" t="s">
        <v>852</v>
      </c>
      <c r="D648" s="1" t="s">
        <v>853</v>
      </c>
      <c r="E648" s="1" t="s">
        <v>97</v>
      </c>
      <c r="F648" s="1" t="s">
        <v>91</v>
      </c>
      <c r="G648" s="1" t="s">
        <v>155</v>
      </c>
      <c r="H648" s="1" t="s">
        <v>93</v>
      </c>
      <c r="I648" s="31">
        <v>1</v>
      </c>
      <c r="J648" s="32">
        <v>28.55</v>
      </c>
      <c r="K648" s="32">
        <v>28.55</v>
      </c>
      <c r="L648" s="32">
        <v>14.35</v>
      </c>
      <c r="M648" s="32">
        <v>14.2</v>
      </c>
      <c r="N648" s="1" t="s">
        <v>77</v>
      </c>
      <c r="O648" s="1" t="s">
        <v>78</v>
      </c>
    </row>
    <row r="649" spans="1:15" ht="18.95" customHeight="1" x14ac:dyDescent="0.25">
      <c r="A649" s="1" t="s">
        <v>914</v>
      </c>
      <c r="B649" s="30">
        <v>45822.5</v>
      </c>
      <c r="C649" s="1" t="s">
        <v>915</v>
      </c>
      <c r="D649" s="1" t="s">
        <v>916</v>
      </c>
      <c r="E649" s="1" t="s">
        <v>150</v>
      </c>
      <c r="F649" s="1" t="s">
        <v>105</v>
      </c>
      <c r="G649" s="1" t="s">
        <v>132</v>
      </c>
      <c r="H649" s="1" t="s">
        <v>99</v>
      </c>
      <c r="I649" s="31">
        <v>1</v>
      </c>
      <c r="J649" s="32">
        <v>87.2</v>
      </c>
      <c r="K649" s="32">
        <v>87.2</v>
      </c>
      <c r="L649" s="32">
        <v>67.260000000000005</v>
      </c>
      <c r="M649" s="32">
        <v>19.940000000000001</v>
      </c>
      <c r="N649" s="1" t="s">
        <v>111</v>
      </c>
      <c r="O649" s="1" t="s">
        <v>112</v>
      </c>
    </row>
    <row r="650" spans="1:15" ht="18.95" customHeight="1" x14ac:dyDescent="0.25">
      <c r="A650" s="1" t="s">
        <v>917</v>
      </c>
      <c r="B650" s="30">
        <v>45822.5</v>
      </c>
      <c r="C650" s="1" t="s">
        <v>412</v>
      </c>
      <c r="D650" s="1" t="s">
        <v>413</v>
      </c>
      <c r="E650" s="1" t="s">
        <v>193</v>
      </c>
      <c r="F650" s="1" t="s">
        <v>194</v>
      </c>
      <c r="G650" s="1" t="s">
        <v>92</v>
      </c>
      <c r="H650" s="1" t="s">
        <v>93</v>
      </c>
      <c r="I650" s="31">
        <v>3</v>
      </c>
      <c r="J650" s="32">
        <v>64.25</v>
      </c>
      <c r="K650" s="32">
        <v>192.75</v>
      </c>
      <c r="L650" s="32">
        <v>140.6</v>
      </c>
      <c r="M650" s="32">
        <v>52.15</v>
      </c>
      <c r="N650" s="1" t="s">
        <v>117</v>
      </c>
      <c r="O650" s="1" t="s">
        <v>78</v>
      </c>
    </row>
    <row r="651" spans="1:15" ht="18.95" customHeight="1" x14ac:dyDescent="0.25">
      <c r="A651" s="1" t="s">
        <v>917</v>
      </c>
      <c r="B651" s="30">
        <v>45822.5</v>
      </c>
      <c r="C651" s="1" t="s">
        <v>412</v>
      </c>
      <c r="D651" s="1" t="s">
        <v>413</v>
      </c>
      <c r="E651" s="1" t="s">
        <v>193</v>
      </c>
      <c r="F651" s="1" t="s">
        <v>194</v>
      </c>
      <c r="G651" s="1" t="s">
        <v>139</v>
      </c>
      <c r="H651" s="1" t="s">
        <v>128</v>
      </c>
      <c r="I651" s="31">
        <v>1</v>
      </c>
      <c r="J651" s="32">
        <v>71.39</v>
      </c>
      <c r="K651" s="32">
        <v>71.39</v>
      </c>
      <c r="L651" s="32">
        <v>47.26</v>
      </c>
      <c r="M651" s="32">
        <v>24.13</v>
      </c>
      <c r="N651" s="1" t="s">
        <v>117</v>
      </c>
      <c r="O651" s="1" t="s">
        <v>78</v>
      </c>
    </row>
    <row r="652" spans="1:15" ht="18.95" customHeight="1" x14ac:dyDescent="0.25">
      <c r="A652" s="1" t="s">
        <v>917</v>
      </c>
      <c r="B652" s="30">
        <v>45822.5</v>
      </c>
      <c r="C652" s="1" t="s">
        <v>412</v>
      </c>
      <c r="D652" s="1" t="s">
        <v>413</v>
      </c>
      <c r="E652" s="1" t="s">
        <v>193</v>
      </c>
      <c r="F652" s="1" t="s">
        <v>194</v>
      </c>
      <c r="G652" s="1" t="s">
        <v>293</v>
      </c>
      <c r="H652" s="1" t="s">
        <v>99</v>
      </c>
      <c r="I652" s="31">
        <v>1</v>
      </c>
      <c r="J652" s="32">
        <v>112.19</v>
      </c>
      <c r="K652" s="32">
        <v>112.19</v>
      </c>
      <c r="L652" s="32">
        <v>82.09</v>
      </c>
      <c r="M652" s="32">
        <v>30.1</v>
      </c>
      <c r="N652" s="1" t="s">
        <v>117</v>
      </c>
      <c r="O652" s="1" t="s">
        <v>78</v>
      </c>
    </row>
    <row r="653" spans="1:15" ht="18.95" customHeight="1" x14ac:dyDescent="0.25">
      <c r="A653" s="1" t="s">
        <v>918</v>
      </c>
      <c r="B653" s="30">
        <v>45824.5</v>
      </c>
      <c r="C653" s="1" t="s">
        <v>204</v>
      </c>
      <c r="D653" s="1" t="s">
        <v>205</v>
      </c>
      <c r="E653" s="1" t="s">
        <v>164</v>
      </c>
      <c r="F653" s="1" t="s">
        <v>165</v>
      </c>
      <c r="G653" s="1" t="s">
        <v>322</v>
      </c>
      <c r="H653" s="1" t="s">
        <v>128</v>
      </c>
      <c r="I653" s="31">
        <v>1</v>
      </c>
      <c r="J653" s="32">
        <v>61.19</v>
      </c>
      <c r="K653" s="32">
        <v>61.19</v>
      </c>
      <c r="L653" s="32">
        <v>41.73</v>
      </c>
      <c r="M653" s="32">
        <v>19.46</v>
      </c>
      <c r="N653" s="1" t="s">
        <v>111</v>
      </c>
      <c r="O653" s="1" t="s">
        <v>78</v>
      </c>
    </row>
    <row r="654" spans="1:15" ht="18.95" customHeight="1" x14ac:dyDescent="0.25">
      <c r="A654" s="1" t="s">
        <v>918</v>
      </c>
      <c r="B654" s="30">
        <v>45824.5</v>
      </c>
      <c r="C654" s="1" t="s">
        <v>204</v>
      </c>
      <c r="D654" s="1" t="s">
        <v>205</v>
      </c>
      <c r="E654" s="1" t="s">
        <v>164</v>
      </c>
      <c r="F654" s="1" t="s">
        <v>165</v>
      </c>
      <c r="G654" s="1" t="s">
        <v>213</v>
      </c>
      <c r="H654" s="1" t="s">
        <v>93</v>
      </c>
      <c r="I654" s="31">
        <v>2</v>
      </c>
      <c r="J654" s="32">
        <v>33.65</v>
      </c>
      <c r="K654" s="32">
        <v>67.3</v>
      </c>
      <c r="L654" s="32">
        <v>37.86</v>
      </c>
      <c r="M654" s="32">
        <v>29.44</v>
      </c>
      <c r="N654" s="1" t="s">
        <v>111</v>
      </c>
      <c r="O654" s="1" t="s">
        <v>78</v>
      </c>
    </row>
    <row r="655" spans="1:15" ht="18.95" customHeight="1" x14ac:dyDescent="0.25">
      <c r="A655" s="1" t="s">
        <v>919</v>
      </c>
      <c r="B655" s="30">
        <v>45825.5</v>
      </c>
      <c r="C655" s="1" t="s">
        <v>282</v>
      </c>
      <c r="D655" s="1" t="s">
        <v>283</v>
      </c>
      <c r="E655" s="1" t="s">
        <v>164</v>
      </c>
      <c r="F655" s="1" t="s">
        <v>165</v>
      </c>
      <c r="G655" s="1" t="s">
        <v>151</v>
      </c>
      <c r="H655" s="1" t="s">
        <v>76</v>
      </c>
      <c r="I655" s="31">
        <v>2</v>
      </c>
      <c r="J655" s="32">
        <v>19.37</v>
      </c>
      <c r="K655" s="32">
        <v>38.74</v>
      </c>
      <c r="L655" s="32">
        <v>18.71</v>
      </c>
      <c r="M655" s="32">
        <v>20.03</v>
      </c>
      <c r="N655" s="1" t="s">
        <v>86</v>
      </c>
      <c r="O655" s="1" t="s">
        <v>78</v>
      </c>
    </row>
    <row r="656" spans="1:15" ht="18.95" customHeight="1" x14ac:dyDescent="0.25">
      <c r="A656" s="1" t="s">
        <v>919</v>
      </c>
      <c r="B656" s="30">
        <v>45825.5</v>
      </c>
      <c r="C656" s="1" t="s">
        <v>282</v>
      </c>
      <c r="D656" s="1" t="s">
        <v>283</v>
      </c>
      <c r="E656" s="1" t="s">
        <v>164</v>
      </c>
      <c r="F656" s="1" t="s">
        <v>165</v>
      </c>
      <c r="G656" s="1" t="s">
        <v>319</v>
      </c>
      <c r="H656" s="1" t="s">
        <v>128</v>
      </c>
      <c r="I656" s="31">
        <v>1</v>
      </c>
      <c r="J656" s="32">
        <v>53.29</v>
      </c>
      <c r="K656" s="32">
        <v>53.29</v>
      </c>
      <c r="L656" s="32">
        <v>36.42</v>
      </c>
      <c r="M656" s="32">
        <v>16.87</v>
      </c>
      <c r="N656" s="1" t="s">
        <v>86</v>
      </c>
      <c r="O656" s="1" t="s">
        <v>78</v>
      </c>
    </row>
    <row r="657" spans="1:15" ht="18.95" customHeight="1" x14ac:dyDescent="0.25">
      <c r="A657" s="1" t="s">
        <v>919</v>
      </c>
      <c r="B657" s="30">
        <v>45825.5</v>
      </c>
      <c r="C657" s="1" t="s">
        <v>282</v>
      </c>
      <c r="D657" s="1" t="s">
        <v>283</v>
      </c>
      <c r="E657" s="1" t="s">
        <v>164</v>
      </c>
      <c r="F657" s="1" t="s">
        <v>165</v>
      </c>
      <c r="G657" s="1" t="s">
        <v>84</v>
      </c>
      <c r="H657" s="1" t="s">
        <v>85</v>
      </c>
      <c r="I657" s="31">
        <v>2</v>
      </c>
      <c r="J657" s="32">
        <v>9.17</v>
      </c>
      <c r="K657" s="32">
        <v>18.34</v>
      </c>
      <c r="L657" s="32">
        <v>8.1300000000000008</v>
      </c>
      <c r="M657" s="32">
        <v>10.210000000000001</v>
      </c>
      <c r="N657" s="1" t="s">
        <v>86</v>
      </c>
      <c r="O657" s="1" t="s">
        <v>78</v>
      </c>
    </row>
    <row r="658" spans="1:15" ht="18.95" customHeight="1" x14ac:dyDescent="0.25">
      <c r="A658" s="1" t="s">
        <v>920</v>
      </c>
      <c r="B658" s="30">
        <v>45825.5</v>
      </c>
      <c r="C658" s="1" t="s">
        <v>130</v>
      </c>
      <c r="D658" s="1" t="s">
        <v>131</v>
      </c>
      <c r="E658" s="1" t="s">
        <v>82</v>
      </c>
      <c r="F658" s="1" t="s">
        <v>83</v>
      </c>
      <c r="G658" s="1" t="s">
        <v>259</v>
      </c>
      <c r="H658" s="1" t="s">
        <v>85</v>
      </c>
      <c r="I658" s="31">
        <v>1</v>
      </c>
      <c r="J658" s="32">
        <v>203.99</v>
      </c>
      <c r="K658" s="32">
        <v>203.99</v>
      </c>
      <c r="L658" s="32">
        <v>161.43</v>
      </c>
      <c r="M658" s="32">
        <v>42.56</v>
      </c>
      <c r="N658" s="1" t="s">
        <v>111</v>
      </c>
      <c r="O658" s="1" t="s">
        <v>78</v>
      </c>
    </row>
    <row r="659" spans="1:15" ht="18.95" customHeight="1" x14ac:dyDescent="0.25">
      <c r="A659" s="1" t="s">
        <v>921</v>
      </c>
      <c r="B659" s="30">
        <v>45825.5</v>
      </c>
      <c r="C659" s="1" t="s">
        <v>574</v>
      </c>
      <c r="D659" s="1" t="s">
        <v>575</v>
      </c>
      <c r="E659" s="1" t="s">
        <v>104</v>
      </c>
      <c r="F659" s="1" t="s">
        <v>105</v>
      </c>
      <c r="G659" s="1" t="s">
        <v>155</v>
      </c>
      <c r="H659" s="1" t="s">
        <v>93</v>
      </c>
      <c r="I659" s="31">
        <v>3</v>
      </c>
      <c r="J659" s="32">
        <v>25.69</v>
      </c>
      <c r="K659" s="32">
        <v>77.069999999999993</v>
      </c>
      <c r="L659" s="32">
        <v>42.59</v>
      </c>
      <c r="M659" s="32">
        <v>34.479999999999997</v>
      </c>
      <c r="N659" s="1" t="s">
        <v>77</v>
      </c>
      <c r="O659" s="1" t="s">
        <v>78</v>
      </c>
    </row>
    <row r="660" spans="1:15" ht="18.95" customHeight="1" x14ac:dyDescent="0.25">
      <c r="A660" s="1" t="s">
        <v>921</v>
      </c>
      <c r="B660" s="30">
        <v>45825.5</v>
      </c>
      <c r="C660" s="1" t="s">
        <v>574</v>
      </c>
      <c r="D660" s="1" t="s">
        <v>575</v>
      </c>
      <c r="E660" s="1" t="s">
        <v>104</v>
      </c>
      <c r="F660" s="1" t="s">
        <v>105</v>
      </c>
      <c r="G660" s="1" t="s">
        <v>132</v>
      </c>
      <c r="H660" s="1" t="s">
        <v>99</v>
      </c>
      <c r="I660" s="31">
        <v>1</v>
      </c>
      <c r="J660" s="32">
        <v>82.61</v>
      </c>
      <c r="K660" s="32">
        <v>82.61</v>
      </c>
      <c r="L660" s="32">
        <v>64.83</v>
      </c>
      <c r="M660" s="32">
        <v>17.78</v>
      </c>
      <c r="N660" s="1" t="s">
        <v>77</v>
      </c>
      <c r="O660" s="1" t="s">
        <v>78</v>
      </c>
    </row>
    <row r="661" spans="1:15" ht="18.95" customHeight="1" x14ac:dyDescent="0.25">
      <c r="A661" s="1" t="s">
        <v>922</v>
      </c>
      <c r="B661" s="30">
        <v>45829.5</v>
      </c>
      <c r="C661" s="1" t="s">
        <v>130</v>
      </c>
      <c r="D661" s="1" t="s">
        <v>131</v>
      </c>
      <c r="E661" s="1" t="s">
        <v>82</v>
      </c>
      <c r="F661" s="1" t="s">
        <v>83</v>
      </c>
      <c r="G661" s="1" t="s">
        <v>184</v>
      </c>
      <c r="H661" s="1" t="s">
        <v>99</v>
      </c>
      <c r="I661" s="31">
        <v>2</v>
      </c>
      <c r="J661" s="32">
        <v>164.72</v>
      </c>
      <c r="K661" s="32">
        <v>329.44</v>
      </c>
      <c r="L661" s="32">
        <v>280.22000000000003</v>
      </c>
      <c r="M661" s="32">
        <v>49.22</v>
      </c>
      <c r="N661" s="1" t="s">
        <v>86</v>
      </c>
      <c r="O661" s="1" t="s">
        <v>233</v>
      </c>
    </row>
    <row r="662" spans="1:15" ht="18.95" customHeight="1" x14ac:dyDescent="0.25">
      <c r="A662" s="1" t="s">
        <v>922</v>
      </c>
      <c r="B662" s="30">
        <v>45829.5</v>
      </c>
      <c r="C662" s="1" t="s">
        <v>130</v>
      </c>
      <c r="D662" s="1" t="s">
        <v>131</v>
      </c>
      <c r="E662" s="1" t="s">
        <v>82</v>
      </c>
      <c r="F662" s="1" t="s">
        <v>83</v>
      </c>
      <c r="G662" s="1" t="s">
        <v>151</v>
      </c>
      <c r="H662" s="1" t="s">
        <v>76</v>
      </c>
      <c r="I662" s="31">
        <v>2</v>
      </c>
      <c r="J662" s="32">
        <v>18.399999999999999</v>
      </c>
      <c r="K662" s="32">
        <v>36.799999999999997</v>
      </c>
      <c r="L662" s="32">
        <v>18.97</v>
      </c>
      <c r="M662" s="32">
        <v>17.829999999999998</v>
      </c>
      <c r="N662" s="1" t="s">
        <v>86</v>
      </c>
      <c r="O662" s="1" t="s">
        <v>233</v>
      </c>
    </row>
    <row r="663" spans="1:15" ht="18.95" customHeight="1" x14ac:dyDescent="0.25">
      <c r="A663" s="1" t="s">
        <v>923</v>
      </c>
      <c r="B663" s="30">
        <v>45832.5</v>
      </c>
      <c r="C663" s="1" t="s">
        <v>805</v>
      </c>
      <c r="D663" s="1" t="s">
        <v>806</v>
      </c>
      <c r="E663" s="1" t="s">
        <v>82</v>
      </c>
      <c r="F663" s="1" t="s">
        <v>83</v>
      </c>
      <c r="G663" s="1" t="s">
        <v>195</v>
      </c>
      <c r="H663" s="1" t="s">
        <v>128</v>
      </c>
      <c r="I663" s="31">
        <v>2</v>
      </c>
      <c r="J663" s="32">
        <v>142.79</v>
      </c>
      <c r="K663" s="32">
        <v>285.58</v>
      </c>
      <c r="L663" s="32">
        <v>217.47</v>
      </c>
      <c r="M663" s="32">
        <v>68.11</v>
      </c>
      <c r="N663" s="1" t="s">
        <v>111</v>
      </c>
      <c r="O663" s="1" t="s">
        <v>78</v>
      </c>
    </row>
    <row r="664" spans="1:15" ht="18.95" customHeight="1" x14ac:dyDescent="0.25">
      <c r="A664" s="1" t="s">
        <v>924</v>
      </c>
      <c r="B664" s="30">
        <v>45838.5</v>
      </c>
      <c r="C664" s="1" t="s">
        <v>288</v>
      </c>
      <c r="D664" s="1" t="s">
        <v>289</v>
      </c>
      <c r="E664" s="1" t="s">
        <v>104</v>
      </c>
      <c r="F664" s="1" t="s">
        <v>105</v>
      </c>
      <c r="G664" s="1" t="s">
        <v>110</v>
      </c>
      <c r="H664" s="1" t="s">
        <v>85</v>
      </c>
      <c r="I664" s="31">
        <v>1</v>
      </c>
      <c r="J664" s="32">
        <v>13.25</v>
      </c>
      <c r="K664" s="32">
        <v>13.25</v>
      </c>
      <c r="L664" s="32">
        <v>6.27</v>
      </c>
      <c r="M664" s="32">
        <v>6.98</v>
      </c>
      <c r="N664" s="1" t="s">
        <v>77</v>
      </c>
      <c r="O664" s="1" t="s">
        <v>78</v>
      </c>
    </row>
    <row r="665" spans="1:15" ht="18.95" customHeight="1" x14ac:dyDescent="0.25">
      <c r="A665" s="1" t="s">
        <v>924</v>
      </c>
      <c r="B665" s="30">
        <v>45838.5</v>
      </c>
      <c r="C665" s="1" t="s">
        <v>288</v>
      </c>
      <c r="D665" s="1" t="s">
        <v>289</v>
      </c>
      <c r="E665" s="1" t="s">
        <v>104</v>
      </c>
      <c r="F665" s="1" t="s">
        <v>105</v>
      </c>
      <c r="G665" s="1" t="s">
        <v>293</v>
      </c>
      <c r="H665" s="1" t="s">
        <v>99</v>
      </c>
      <c r="I665" s="31">
        <v>2</v>
      </c>
      <c r="J665" s="32">
        <v>106.58</v>
      </c>
      <c r="K665" s="32">
        <v>213.16</v>
      </c>
      <c r="L665" s="32">
        <v>163.55000000000001</v>
      </c>
      <c r="M665" s="32">
        <v>49.61</v>
      </c>
      <c r="N665" s="1" t="s">
        <v>77</v>
      </c>
      <c r="O665" s="1" t="s">
        <v>78</v>
      </c>
    </row>
    <row r="666" spans="1:15" ht="18.95" customHeight="1" x14ac:dyDescent="0.25">
      <c r="A666" s="1" t="s">
        <v>925</v>
      </c>
      <c r="B666" s="30">
        <v>45839.5</v>
      </c>
      <c r="C666" s="1" t="s">
        <v>426</v>
      </c>
      <c r="D666" s="1" t="s">
        <v>427</v>
      </c>
      <c r="E666" s="1" t="s">
        <v>237</v>
      </c>
      <c r="F666" s="1" t="s">
        <v>238</v>
      </c>
      <c r="G666" s="1" t="s">
        <v>127</v>
      </c>
      <c r="H666" s="1" t="s">
        <v>128</v>
      </c>
      <c r="I666" s="31">
        <v>1</v>
      </c>
      <c r="J666" s="32">
        <v>25.49</v>
      </c>
      <c r="K666" s="32">
        <v>25.49</v>
      </c>
      <c r="L666" s="32">
        <v>15.35</v>
      </c>
      <c r="M666" s="32">
        <v>10.14</v>
      </c>
      <c r="N666" s="1" t="s">
        <v>86</v>
      </c>
      <c r="O666" s="1" t="s">
        <v>78</v>
      </c>
    </row>
    <row r="667" spans="1:15" ht="18.95" customHeight="1" x14ac:dyDescent="0.25">
      <c r="A667" s="1" t="s">
        <v>926</v>
      </c>
      <c r="B667" s="30">
        <v>45841.5</v>
      </c>
      <c r="C667" s="1" t="s">
        <v>296</v>
      </c>
      <c r="D667" s="1" t="s">
        <v>297</v>
      </c>
      <c r="E667" s="1" t="s">
        <v>174</v>
      </c>
      <c r="F667" s="1" t="s">
        <v>175</v>
      </c>
      <c r="G667" s="1" t="s">
        <v>189</v>
      </c>
      <c r="H667" s="1" t="s">
        <v>93</v>
      </c>
      <c r="I667" s="31">
        <v>1</v>
      </c>
      <c r="J667" s="32">
        <v>45.89</v>
      </c>
      <c r="K667" s="32">
        <v>45.89</v>
      </c>
      <c r="L667" s="32">
        <v>30.17</v>
      </c>
      <c r="M667" s="32">
        <v>15.72</v>
      </c>
      <c r="N667" s="1" t="s">
        <v>77</v>
      </c>
      <c r="O667" s="1" t="s">
        <v>118</v>
      </c>
    </row>
    <row r="668" spans="1:15" ht="18.95" customHeight="1" x14ac:dyDescent="0.25">
      <c r="A668" s="1" t="s">
        <v>926</v>
      </c>
      <c r="B668" s="30">
        <v>45841.5</v>
      </c>
      <c r="C668" s="1" t="s">
        <v>296</v>
      </c>
      <c r="D668" s="1" t="s">
        <v>297</v>
      </c>
      <c r="E668" s="1" t="s">
        <v>174</v>
      </c>
      <c r="F668" s="1" t="s">
        <v>175</v>
      </c>
      <c r="G668" s="1" t="s">
        <v>84</v>
      </c>
      <c r="H668" s="1" t="s">
        <v>85</v>
      </c>
      <c r="I668" s="31">
        <v>1</v>
      </c>
      <c r="J668" s="32">
        <v>9.17</v>
      </c>
      <c r="K668" s="32">
        <v>9.17</v>
      </c>
      <c r="L668" s="32">
        <v>4.66</v>
      </c>
      <c r="M668" s="32">
        <v>4.51</v>
      </c>
      <c r="N668" s="1" t="s">
        <v>77</v>
      </c>
      <c r="O668" s="1" t="s">
        <v>118</v>
      </c>
    </row>
    <row r="669" spans="1:15" ht="18.95" customHeight="1" x14ac:dyDescent="0.25">
      <c r="A669" s="1" t="s">
        <v>926</v>
      </c>
      <c r="B669" s="30">
        <v>45841.5</v>
      </c>
      <c r="C669" s="1" t="s">
        <v>296</v>
      </c>
      <c r="D669" s="1" t="s">
        <v>297</v>
      </c>
      <c r="E669" s="1" t="s">
        <v>174</v>
      </c>
      <c r="F669" s="1" t="s">
        <v>175</v>
      </c>
      <c r="G669" s="1" t="s">
        <v>213</v>
      </c>
      <c r="H669" s="1" t="s">
        <v>93</v>
      </c>
      <c r="I669" s="31">
        <v>2</v>
      </c>
      <c r="J669" s="32">
        <v>33.65</v>
      </c>
      <c r="K669" s="32">
        <v>67.3</v>
      </c>
      <c r="L669" s="32">
        <v>42.23</v>
      </c>
      <c r="M669" s="32">
        <v>25.07</v>
      </c>
      <c r="N669" s="1" t="s">
        <v>77</v>
      </c>
      <c r="O669" s="1" t="s">
        <v>118</v>
      </c>
    </row>
    <row r="670" spans="1:15" ht="18.95" customHeight="1" x14ac:dyDescent="0.25">
      <c r="A670" s="1" t="s">
        <v>927</v>
      </c>
      <c r="B670" s="30">
        <v>45841.5</v>
      </c>
      <c r="C670" s="1" t="s">
        <v>108</v>
      </c>
      <c r="D670" s="1" t="s">
        <v>109</v>
      </c>
      <c r="E670" s="1" t="s">
        <v>74</v>
      </c>
      <c r="F670" s="1" t="s">
        <v>74</v>
      </c>
      <c r="G670" s="1" t="s">
        <v>157</v>
      </c>
      <c r="H670" s="1" t="s">
        <v>93</v>
      </c>
      <c r="I670" s="31">
        <v>2</v>
      </c>
      <c r="J670" s="32">
        <v>18.350000000000001</v>
      </c>
      <c r="K670" s="32">
        <v>36.700000000000003</v>
      </c>
      <c r="L670" s="32">
        <v>20.79</v>
      </c>
      <c r="M670" s="32">
        <v>15.91</v>
      </c>
      <c r="N670" s="1" t="s">
        <v>86</v>
      </c>
      <c r="O670" s="1" t="s">
        <v>112</v>
      </c>
    </row>
    <row r="671" spans="1:15" ht="18.95" customHeight="1" x14ac:dyDescent="0.25">
      <c r="A671" s="1" t="s">
        <v>928</v>
      </c>
      <c r="B671" s="30">
        <v>45842.5</v>
      </c>
      <c r="C671" s="1" t="s">
        <v>251</v>
      </c>
      <c r="D671" s="1" t="s">
        <v>252</v>
      </c>
      <c r="E671" s="1" t="s">
        <v>243</v>
      </c>
      <c r="F671" s="1" t="s">
        <v>165</v>
      </c>
      <c r="G671" s="1" t="s">
        <v>75</v>
      </c>
      <c r="H671" s="1" t="s">
        <v>76</v>
      </c>
      <c r="I671" s="31">
        <v>1</v>
      </c>
      <c r="J671" s="32">
        <v>27.53</v>
      </c>
      <c r="K671" s="32">
        <v>27.53</v>
      </c>
      <c r="L671" s="32">
        <v>16.45</v>
      </c>
      <c r="M671" s="32">
        <v>11.08</v>
      </c>
      <c r="N671" s="1" t="s">
        <v>86</v>
      </c>
      <c r="O671" s="1" t="s">
        <v>118</v>
      </c>
    </row>
    <row r="672" spans="1:15" ht="18.95" customHeight="1" x14ac:dyDescent="0.25">
      <c r="A672" s="1" t="s">
        <v>929</v>
      </c>
      <c r="B672" s="30">
        <v>45842.5</v>
      </c>
      <c r="C672" s="1" t="s">
        <v>215</v>
      </c>
      <c r="D672" s="1" t="s">
        <v>216</v>
      </c>
      <c r="E672" s="1" t="s">
        <v>183</v>
      </c>
      <c r="F672" s="1" t="s">
        <v>137</v>
      </c>
      <c r="G672" s="1" t="s">
        <v>139</v>
      </c>
      <c r="H672" s="1" t="s">
        <v>128</v>
      </c>
      <c r="I672" s="31">
        <v>1</v>
      </c>
      <c r="J672" s="32">
        <v>71.39</v>
      </c>
      <c r="K672" s="32">
        <v>71.39</v>
      </c>
      <c r="L672" s="32">
        <v>47.26</v>
      </c>
      <c r="M672" s="32">
        <v>24.13</v>
      </c>
      <c r="N672" s="1" t="s">
        <v>86</v>
      </c>
      <c r="O672" s="1" t="s">
        <v>78</v>
      </c>
    </row>
    <row r="673" spans="1:15" ht="18.95" customHeight="1" x14ac:dyDescent="0.25">
      <c r="A673" s="1" t="s">
        <v>930</v>
      </c>
      <c r="B673" s="30">
        <v>45844.5</v>
      </c>
      <c r="C673" s="1" t="s">
        <v>450</v>
      </c>
      <c r="D673" s="1" t="s">
        <v>451</v>
      </c>
      <c r="E673" s="1" t="s">
        <v>183</v>
      </c>
      <c r="F673" s="1" t="s">
        <v>137</v>
      </c>
      <c r="G673" s="1" t="s">
        <v>202</v>
      </c>
      <c r="H673" s="1" t="s">
        <v>85</v>
      </c>
      <c r="I673" s="31">
        <v>4</v>
      </c>
      <c r="J673" s="32">
        <v>8.15</v>
      </c>
      <c r="K673" s="32">
        <v>32.6</v>
      </c>
      <c r="L673" s="32">
        <v>18.18</v>
      </c>
      <c r="M673" s="32">
        <v>14.42</v>
      </c>
      <c r="N673" s="1" t="s">
        <v>315</v>
      </c>
      <c r="O673" s="1" t="s">
        <v>112</v>
      </c>
    </row>
    <row r="674" spans="1:15" ht="18.95" customHeight="1" x14ac:dyDescent="0.25">
      <c r="A674" s="1" t="s">
        <v>930</v>
      </c>
      <c r="B674" s="30">
        <v>45844.5</v>
      </c>
      <c r="C674" s="1" t="s">
        <v>450</v>
      </c>
      <c r="D674" s="1" t="s">
        <v>451</v>
      </c>
      <c r="E674" s="1" t="s">
        <v>183</v>
      </c>
      <c r="F674" s="1" t="s">
        <v>137</v>
      </c>
      <c r="G674" s="1" t="s">
        <v>195</v>
      </c>
      <c r="H674" s="1" t="s">
        <v>128</v>
      </c>
      <c r="I674" s="31">
        <v>1</v>
      </c>
      <c r="J674" s="32">
        <v>135.65</v>
      </c>
      <c r="K674" s="32">
        <v>135.65</v>
      </c>
      <c r="L674" s="32">
        <v>111.74</v>
      </c>
      <c r="M674" s="32">
        <v>23.91</v>
      </c>
      <c r="N674" s="1" t="s">
        <v>315</v>
      </c>
      <c r="O674" s="1" t="s">
        <v>112</v>
      </c>
    </row>
    <row r="675" spans="1:15" ht="18.95" customHeight="1" x14ac:dyDescent="0.25">
      <c r="A675" s="1" t="s">
        <v>931</v>
      </c>
      <c r="B675" s="30">
        <v>45845.5</v>
      </c>
      <c r="C675" s="1" t="s">
        <v>373</v>
      </c>
      <c r="D675" s="1" t="s">
        <v>374</v>
      </c>
      <c r="E675" s="1" t="s">
        <v>90</v>
      </c>
      <c r="F675" s="1" t="s">
        <v>91</v>
      </c>
      <c r="G675" s="1" t="s">
        <v>322</v>
      </c>
      <c r="H675" s="1" t="s">
        <v>128</v>
      </c>
      <c r="I675" s="31">
        <v>4</v>
      </c>
      <c r="J675" s="32">
        <v>61.19</v>
      </c>
      <c r="K675" s="32">
        <v>244.76</v>
      </c>
      <c r="L675" s="32">
        <v>166.9</v>
      </c>
      <c r="M675" s="32">
        <v>77.86</v>
      </c>
      <c r="N675" s="1" t="s">
        <v>86</v>
      </c>
      <c r="O675" s="1" t="s">
        <v>78</v>
      </c>
    </row>
    <row r="676" spans="1:15" ht="18.95" customHeight="1" x14ac:dyDescent="0.25">
      <c r="A676" s="1" t="s">
        <v>932</v>
      </c>
      <c r="B676" s="30">
        <v>45847.5</v>
      </c>
      <c r="C676" s="1" t="s">
        <v>805</v>
      </c>
      <c r="D676" s="1" t="s">
        <v>806</v>
      </c>
      <c r="E676" s="1" t="s">
        <v>82</v>
      </c>
      <c r="F676" s="1" t="s">
        <v>83</v>
      </c>
      <c r="G676" s="1" t="s">
        <v>75</v>
      </c>
      <c r="H676" s="1" t="s">
        <v>76</v>
      </c>
      <c r="I676" s="31">
        <v>3</v>
      </c>
      <c r="J676" s="32">
        <v>27.53</v>
      </c>
      <c r="K676" s="32">
        <v>82.59</v>
      </c>
      <c r="L676" s="32">
        <v>49.36</v>
      </c>
      <c r="M676" s="32">
        <v>33.229999999999997</v>
      </c>
      <c r="N676" s="1" t="s">
        <v>86</v>
      </c>
      <c r="O676" s="1" t="s">
        <v>118</v>
      </c>
    </row>
    <row r="677" spans="1:15" ht="18.95" customHeight="1" x14ac:dyDescent="0.25">
      <c r="A677" s="1" t="s">
        <v>933</v>
      </c>
      <c r="B677" s="30">
        <v>45850.5</v>
      </c>
      <c r="C677" s="1" t="s">
        <v>257</v>
      </c>
      <c r="D677" s="1" t="s">
        <v>258</v>
      </c>
      <c r="E677" s="1" t="s">
        <v>212</v>
      </c>
      <c r="F677" s="1" t="s">
        <v>83</v>
      </c>
      <c r="G677" s="1" t="s">
        <v>75</v>
      </c>
      <c r="H677" s="1" t="s">
        <v>76</v>
      </c>
      <c r="I677" s="31">
        <v>1</v>
      </c>
      <c r="J677" s="32">
        <v>24.78</v>
      </c>
      <c r="K677" s="32">
        <v>24.78</v>
      </c>
      <c r="L677" s="32">
        <v>15.13</v>
      </c>
      <c r="M677" s="32">
        <v>9.65</v>
      </c>
      <c r="N677" s="1" t="s">
        <v>86</v>
      </c>
      <c r="O677" s="1" t="s">
        <v>112</v>
      </c>
    </row>
    <row r="678" spans="1:15" ht="18.95" customHeight="1" x14ac:dyDescent="0.25">
      <c r="A678" s="1" t="s">
        <v>933</v>
      </c>
      <c r="B678" s="30">
        <v>45850.5</v>
      </c>
      <c r="C678" s="1" t="s">
        <v>257</v>
      </c>
      <c r="D678" s="1" t="s">
        <v>258</v>
      </c>
      <c r="E678" s="1" t="s">
        <v>212</v>
      </c>
      <c r="F678" s="1" t="s">
        <v>83</v>
      </c>
      <c r="G678" s="1" t="s">
        <v>213</v>
      </c>
      <c r="H678" s="1" t="s">
        <v>93</v>
      </c>
      <c r="I678" s="31">
        <v>3</v>
      </c>
      <c r="J678" s="32">
        <v>33.65</v>
      </c>
      <c r="K678" s="32">
        <v>100.95</v>
      </c>
      <c r="L678" s="32">
        <v>59.31</v>
      </c>
      <c r="M678" s="32">
        <v>41.64</v>
      </c>
      <c r="N678" s="1" t="s">
        <v>86</v>
      </c>
      <c r="O678" s="1" t="s">
        <v>112</v>
      </c>
    </row>
    <row r="679" spans="1:15" ht="18.95" customHeight="1" x14ac:dyDescent="0.25">
      <c r="A679" s="1" t="s">
        <v>934</v>
      </c>
      <c r="B679" s="30">
        <v>45851.5</v>
      </c>
      <c r="C679" s="1" t="s">
        <v>153</v>
      </c>
      <c r="D679" s="1" t="s">
        <v>154</v>
      </c>
      <c r="E679" s="1" t="s">
        <v>97</v>
      </c>
      <c r="F679" s="1" t="s">
        <v>91</v>
      </c>
      <c r="G679" s="1" t="s">
        <v>230</v>
      </c>
      <c r="H679" s="1" t="s">
        <v>128</v>
      </c>
      <c r="I679" s="31">
        <v>1</v>
      </c>
      <c r="J679" s="32">
        <v>43.6</v>
      </c>
      <c r="K679" s="32">
        <v>43.6</v>
      </c>
      <c r="L679" s="32">
        <v>29.32</v>
      </c>
      <c r="M679" s="32">
        <v>14.28</v>
      </c>
      <c r="N679" s="1" t="s">
        <v>117</v>
      </c>
      <c r="O679" s="1" t="s">
        <v>233</v>
      </c>
    </row>
    <row r="680" spans="1:15" ht="18.95" customHeight="1" x14ac:dyDescent="0.25">
      <c r="A680" s="1" t="s">
        <v>934</v>
      </c>
      <c r="B680" s="30">
        <v>45851.5</v>
      </c>
      <c r="C680" s="1" t="s">
        <v>153</v>
      </c>
      <c r="D680" s="1" t="s">
        <v>154</v>
      </c>
      <c r="E680" s="1" t="s">
        <v>97</v>
      </c>
      <c r="F680" s="1" t="s">
        <v>91</v>
      </c>
      <c r="G680" s="1" t="s">
        <v>155</v>
      </c>
      <c r="H680" s="1" t="s">
        <v>93</v>
      </c>
      <c r="I680" s="31">
        <v>1</v>
      </c>
      <c r="J680" s="32">
        <v>28.55</v>
      </c>
      <c r="K680" s="32">
        <v>28.55</v>
      </c>
      <c r="L680" s="32">
        <v>14.64</v>
      </c>
      <c r="M680" s="32">
        <v>13.91</v>
      </c>
      <c r="N680" s="1" t="s">
        <v>117</v>
      </c>
      <c r="O680" s="1" t="s">
        <v>233</v>
      </c>
    </row>
    <row r="681" spans="1:15" ht="18.95" customHeight="1" x14ac:dyDescent="0.25">
      <c r="A681" s="1" t="s">
        <v>935</v>
      </c>
      <c r="B681" s="30">
        <v>45853.5</v>
      </c>
      <c r="C681" s="1" t="s">
        <v>186</v>
      </c>
      <c r="D681" s="1" t="s">
        <v>187</v>
      </c>
      <c r="E681" s="1" t="s">
        <v>169</v>
      </c>
      <c r="F681" s="1" t="s">
        <v>170</v>
      </c>
      <c r="G681" s="1" t="s">
        <v>155</v>
      </c>
      <c r="H681" s="1" t="s">
        <v>93</v>
      </c>
      <c r="I681" s="31">
        <v>1</v>
      </c>
      <c r="J681" s="32">
        <v>28.55</v>
      </c>
      <c r="K681" s="32">
        <v>28.55</v>
      </c>
      <c r="L681" s="32">
        <v>16.21</v>
      </c>
      <c r="M681" s="32">
        <v>12.34</v>
      </c>
      <c r="N681" s="1" t="s">
        <v>86</v>
      </c>
      <c r="O681" s="1" t="s">
        <v>118</v>
      </c>
    </row>
    <row r="682" spans="1:15" ht="18.95" customHeight="1" x14ac:dyDescent="0.25">
      <c r="A682" s="1" t="s">
        <v>936</v>
      </c>
      <c r="B682" s="30">
        <v>45855.5</v>
      </c>
      <c r="C682" s="1" t="s">
        <v>130</v>
      </c>
      <c r="D682" s="1" t="s">
        <v>131</v>
      </c>
      <c r="E682" s="1" t="s">
        <v>82</v>
      </c>
      <c r="F682" s="1" t="s">
        <v>83</v>
      </c>
      <c r="G682" s="1" t="s">
        <v>127</v>
      </c>
      <c r="H682" s="1" t="s">
        <v>128</v>
      </c>
      <c r="I682" s="31">
        <v>3</v>
      </c>
      <c r="J682" s="32">
        <v>24.22</v>
      </c>
      <c r="K682" s="32">
        <v>72.66</v>
      </c>
      <c r="L682" s="32">
        <v>45.85</v>
      </c>
      <c r="M682" s="32">
        <v>26.81</v>
      </c>
      <c r="N682" s="1" t="s">
        <v>100</v>
      </c>
      <c r="O682" s="1" t="s">
        <v>78</v>
      </c>
    </row>
    <row r="683" spans="1:15" ht="18.95" customHeight="1" x14ac:dyDescent="0.25">
      <c r="A683" s="1" t="s">
        <v>937</v>
      </c>
      <c r="B683" s="30">
        <v>45855.5</v>
      </c>
      <c r="C683" s="1" t="s">
        <v>359</v>
      </c>
      <c r="D683" s="1" t="s">
        <v>360</v>
      </c>
      <c r="E683" s="1" t="s">
        <v>212</v>
      </c>
      <c r="F683" s="1" t="s">
        <v>83</v>
      </c>
      <c r="G683" s="1" t="s">
        <v>151</v>
      </c>
      <c r="H683" s="1" t="s">
        <v>76</v>
      </c>
      <c r="I683" s="31">
        <v>1</v>
      </c>
      <c r="J683" s="32">
        <v>18.399999999999999</v>
      </c>
      <c r="K683" s="32">
        <v>18.399999999999999</v>
      </c>
      <c r="L683" s="32">
        <v>9.3000000000000007</v>
      </c>
      <c r="M683" s="32">
        <v>9.1</v>
      </c>
      <c r="N683" s="1" t="s">
        <v>77</v>
      </c>
      <c r="O683" s="1" t="s">
        <v>78</v>
      </c>
    </row>
    <row r="684" spans="1:15" ht="18.95" customHeight="1" x14ac:dyDescent="0.25">
      <c r="A684" s="1" t="s">
        <v>938</v>
      </c>
      <c r="B684" s="30">
        <v>45856.5</v>
      </c>
      <c r="C684" s="1" t="s">
        <v>177</v>
      </c>
      <c r="D684" s="1" t="s">
        <v>178</v>
      </c>
      <c r="E684" s="1" t="s">
        <v>97</v>
      </c>
      <c r="F684" s="1" t="s">
        <v>91</v>
      </c>
      <c r="G684" s="1" t="s">
        <v>179</v>
      </c>
      <c r="H684" s="1" t="s">
        <v>128</v>
      </c>
      <c r="I684" s="31">
        <v>3</v>
      </c>
      <c r="J684" s="32">
        <v>40.79</v>
      </c>
      <c r="K684" s="32">
        <v>122.37</v>
      </c>
      <c r="L684" s="32">
        <v>71.27</v>
      </c>
      <c r="M684" s="32">
        <v>51.1</v>
      </c>
      <c r="N684" s="1" t="s">
        <v>117</v>
      </c>
      <c r="O684" s="1" t="s">
        <v>233</v>
      </c>
    </row>
    <row r="685" spans="1:15" ht="18.95" customHeight="1" x14ac:dyDescent="0.25">
      <c r="A685" s="1" t="s">
        <v>938</v>
      </c>
      <c r="B685" s="30">
        <v>45856.5</v>
      </c>
      <c r="C685" s="1" t="s">
        <v>177</v>
      </c>
      <c r="D685" s="1" t="s">
        <v>178</v>
      </c>
      <c r="E685" s="1" t="s">
        <v>97</v>
      </c>
      <c r="F685" s="1" t="s">
        <v>91</v>
      </c>
      <c r="G685" s="1" t="s">
        <v>75</v>
      </c>
      <c r="H685" s="1" t="s">
        <v>76</v>
      </c>
      <c r="I685" s="31">
        <v>6</v>
      </c>
      <c r="J685" s="32">
        <v>24.78</v>
      </c>
      <c r="K685" s="32">
        <v>148.68</v>
      </c>
      <c r="L685" s="32">
        <v>88.56</v>
      </c>
      <c r="M685" s="32">
        <v>60.12</v>
      </c>
      <c r="N685" s="1" t="s">
        <v>117</v>
      </c>
      <c r="O685" s="1" t="s">
        <v>233</v>
      </c>
    </row>
    <row r="686" spans="1:15" ht="18.95" customHeight="1" x14ac:dyDescent="0.25">
      <c r="A686" s="1" t="s">
        <v>939</v>
      </c>
      <c r="B686" s="30">
        <v>45856.5</v>
      </c>
      <c r="C686" s="1" t="s">
        <v>423</v>
      </c>
      <c r="D686" s="1" t="s">
        <v>424</v>
      </c>
      <c r="E686" s="1" t="s">
        <v>104</v>
      </c>
      <c r="F686" s="1" t="s">
        <v>105</v>
      </c>
      <c r="G686" s="1" t="s">
        <v>84</v>
      </c>
      <c r="H686" s="1" t="s">
        <v>85</v>
      </c>
      <c r="I686" s="31">
        <v>2</v>
      </c>
      <c r="J686" s="32">
        <v>8.7100000000000009</v>
      </c>
      <c r="K686" s="32">
        <v>17.420000000000002</v>
      </c>
      <c r="L686" s="32">
        <v>8.08</v>
      </c>
      <c r="M686" s="32">
        <v>9.34</v>
      </c>
      <c r="N686" s="1" t="s">
        <v>117</v>
      </c>
      <c r="O686" s="1" t="s">
        <v>78</v>
      </c>
    </row>
    <row r="687" spans="1:15" ht="18.95" customHeight="1" x14ac:dyDescent="0.25">
      <c r="A687" s="1" t="s">
        <v>939</v>
      </c>
      <c r="B687" s="30">
        <v>45856.5</v>
      </c>
      <c r="C687" s="1" t="s">
        <v>423</v>
      </c>
      <c r="D687" s="1" t="s">
        <v>424</v>
      </c>
      <c r="E687" s="1" t="s">
        <v>104</v>
      </c>
      <c r="F687" s="1" t="s">
        <v>105</v>
      </c>
      <c r="G687" s="1" t="s">
        <v>98</v>
      </c>
      <c r="H687" s="1" t="s">
        <v>99</v>
      </c>
      <c r="I687" s="31">
        <v>1</v>
      </c>
      <c r="J687" s="32">
        <v>29.06</v>
      </c>
      <c r="K687" s="32">
        <v>29.06</v>
      </c>
      <c r="L687" s="32">
        <v>16.510000000000002</v>
      </c>
      <c r="M687" s="32">
        <v>12.55</v>
      </c>
      <c r="N687" s="1" t="s">
        <v>117</v>
      </c>
      <c r="O687" s="1" t="s">
        <v>78</v>
      </c>
    </row>
    <row r="688" spans="1:15" ht="18.95" customHeight="1" x14ac:dyDescent="0.25">
      <c r="A688" s="1" t="s">
        <v>940</v>
      </c>
      <c r="B688" s="30">
        <v>45858.5</v>
      </c>
      <c r="C688" s="1" t="s">
        <v>95</v>
      </c>
      <c r="D688" s="1" t="s">
        <v>96</v>
      </c>
      <c r="E688" s="1" t="s">
        <v>97</v>
      </c>
      <c r="F688" s="1" t="s">
        <v>91</v>
      </c>
      <c r="G688" s="1" t="s">
        <v>98</v>
      </c>
      <c r="H688" s="1" t="s">
        <v>99</v>
      </c>
      <c r="I688" s="31">
        <v>1</v>
      </c>
      <c r="J688" s="32">
        <v>30.59</v>
      </c>
      <c r="K688" s="32">
        <v>30.59</v>
      </c>
      <c r="L688" s="32">
        <v>18.59</v>
      </c>
      <c r="M688" s="32">
        <v>12</v>
      </c>
      <c r="N688" s="1" t="s">
        <v>77</v>
      </c>
      <c r="O688" s="1" t="s">
        <v>118</v>
      </c>
    </row>
    <row r="689" spans="1:15" ht="18.95" customHeight="1" x14ac:dyDescent="0.25">
      <c r="A689" s="1" t="s">
        <v>941</v>
      </c>
      <c r="B689" s="30">
        <v>45858.5</v>
      </c>
      <c r="C689" s="1" t="s">
        <v>614</v>
      </c>
      <c r="D689" s="1" t="s">
        <v>615</v>
      </c>
      <c r="E689" s="1" t="s">
        <v>90</v>
      </c>
      <c r="F689" s="1" t="s">
        <v>91</v>
      </c>
      <c r="G689" s="1" t="s">
        <v>202</v>
      </c>
      <c r="H689" s="1" t="s">
        <v>85</v>
      </c>
      <c r="I689" s="31">
        <v>3</v>
      </c>
      <c r="J689" s="32">
        <v>7.74</v>
      </c>
      <c r="K689" s="32">
        <v>23.22</v>
      </c>
      <c r="L689" s="32">
        <v>12.96</v>
      </c>
      <c r="M689" s="32">
        <v>10.26</v>
      </c>
      <c r="N689" s="1" t="s">
        <v>77</v>
      </c>
      <c r="O689" s="1" t="s">
        <v>78</v>
      </c>
    </row>
    <row r="690" spans="1:15" ht="18.95" customHeight="1" x14ac:dyDescent="0.25">
      <c r="A690" s="1" t="s">
        <v>942</v>
      </c>
      <c r="B690" s="30">
        <v>45861.5</v>
      </c>
      <c r="C690" s="1" t="s">
        <v>204</v>
      </c>
      <c r="D690" s="1" t="s">
        <v>205</v>
      </c>
      <c r="E690" s="1" t="s">
        <v>164</v>
      </c>
      <c r="F690" s="1" t="s">
        <v>165</v>
      </c>
      <c r="G690" s="1" t="s">
        <v>116</v>
      </c>
      <c r="H690" s="1" t="s">
        <v>76</v>
      </c>
      <c r="I690" s="31">
        <v>2</v>
      </c>
      <c r="J690" s="32">
        <v>13.76</v>
      </c>
      <c r="K690" s="32">
        <v>27.52</v>
      </c>
      <c r="L690" s="32">
        <v>13.69</v>
      </c>
      <c r="M690" s="32">
        <v>13.83</v>
      </c>
      <c r="N690" s="1" t="s">
        <v>111</v>
      </c>
      <c r="O690" s="1" t="s">
        <v>78</v>
      </c>
    </row>
    <row r="691" spans="1:15" ht="18.95" customHeight="1" x14ac:dyDescent="0.25">
      <c r="A691" s="1" t="s">
        <v>943</v>
      </c>
      <c r="B691" s="30">
        <v>45861.5</v>
      </c>
      <c r="C691" s="1" t="s">
        <v>889</v>
      </c>
      <c r="D691" s="1" t="s">
        <v>890</v>
      </c>
      <c r="E691" s="1" t="s">
        <v>136</v>
      </c>
      <c r="F691" s="1" t="s">
        <v>137</v>
      </c>
      <c r="G691" s="1" t="s">
        <v>127</v>
      </c>
      <c r="H691" s="1" t="s">
        <v>128</v>
      </c>
      <c r="I691" s="31">
        <v>1</v>
      </c>
      <c r="J691" s="32">
        <v>25.49</v>
      </c>
      <c r="K691" s="32">
        <v>25.49</v>
      </c>
      <c r="L691" s="32">
        <v>15.99</v>
      </c>
      <c r="M691" s="32">
        <v>9.5</v>
      </c>
      <c r="N691" s="1" t="s">
        <v>86</v>
      </c>
      <c r="O691" s="1" t="s">
        <v>112</v>
      </c>
    </row>
    <row r="692" spans="1:15" ht="18.95" customHeight="1" x14ac:dyDescent="0.25">
      <c r="A692" s="1" t="s">
        <v>944</v>
      </c>
      <c r="B692" s="30">
        <v>45861.5</v>
      </c>
      <c r="C692" s="1" t="s">
        <v>945</v>
      </c>
      <c r="D692" s="1" t="s">
        <v>946</v>
      </c>
      <c r="E692" s="1" t="s">
        <v>74</v>
      </c>
      <c r="F692" s="1" t="s">
        <v>74</v>
      </c>
      <c r="G692" s="1" t="s">
        <v>188</v>
      </c>
      <c r="H692" s="1" t="s">
        <v>76</v>
      </c>
      <c r="I692" s="31">
        <v>2</v>
      </c>
      <c r="J692" s="32">
        <v>86.69</v>
      </c>
      <c r="K692" s="32">
        <v>173.38</v>
      </c>
      <c r="L692" s="32">
        <v>126.01</v>
      </c>
      <c r="M692" s="32">
        <v>47.37</v>
      </c>
      <c r="N692" s="1" t="s">
        <v>86</v>
      </c>
      <c r="O692" s="1" t="s">
        <v>112</v>
      </c>
    </row>
    <row r="693" spans="1:15" ht="18.95" customHeight="1" x14ac:dyDescent="0.25">
      <c r="A693" s="1" t="s">
        <v>947</v>
      </c>
      <c r="B693" s="30">
        <v>45863.5</v>
      </c>
      <c r="C693" s="1" t="s">
        <v>267</v>
      </c>
      <c r="D693" s="1" t="s">
        <v>268</v>
      </c>
      <c r="E693" s="1" t="s">
        <v>212</v>
      </c>
      <c r="F693" s="1" t="s">
        <v>83</v>
      </c>
      <c r="G693" s="1" t="s">
        <v>306</v>
      </c>
      <c r="H693" s="1" t="s">
        <v>76</v>
      </c>
      <c r="I693" s="31">
        <v>1</v>
      </c>
      <c r="J693" s="32">
        <v>21.67</v>
      </c>
      <c r="K693" s="32">
        <v>21.67</v>
      </c>
      <c r="L693" s="32">
        <v>13.08</v>
      </c>
      <c r="M693" s="32">
        <v>8.59</v>
      </c>
      <c r="N693" s="1" t="s">
        <v>117</v>
      </c>
      <c r="O693" s="1" t="s">
        <v>233</v>
      </c>
    </row>
    <row r="694" spans="1:15" ht="18.95" customHeight="1" x14ac:dyDescent="0.25">
      <c r="A694" s="1" t="s">
        <v>947</v>
      </c>
      <c r="B694" s="30">
        <v>45863.5</v>
      </c>
      <c r="C694" s="1" t="s">
        <v>267</v>
      </c>
      <c r="D694" s="1" t="s">
        <v>268</v>
      </c>
      <c r="E694" s="1" t="s">
        <v>212</v>
      </c>
      <c r="F694" s="1" t="s">
        <v>83</v>
      </c>
      <c r="G694" s="1" t="s">
        <v>293</v>
      </c>
      <c r="H694" s="1" t="s">
        <v>99</v>
      </c>
      <c r="I694" s="31">
        <v>1</v>
      </c>
      <c r="J694" s="32">
        <v>112.19</v>
      </c>
      <c r="K694" s="32">
        <v>112.19</v>
      </c>
      <c r="L694" s="32">
        <v>83.21</v>
      </c>
      <c r="M694" s="32">
        <v>28.98</v>
      </c>
      <c r="N694" s="1" t="s">
        <v>117</v>
      </c>
      <c r="O694" s="1" t="s">
        <v>233</v>
      </c>
    </row>
    <row r="695" spans="1:15" ht="18.95" customHeight="1" x14ac:dyDescent="0.25">
      <c r="A695" s="1" t="s">
        <v>948</v>
      </c>
      <c r="B695" s="30">
        <v>45868.5</v>
      </c>
      <c r="C695" s="1" t="s">
        <v>204</v>
      </c>
      <c r="D695" s="1" t="s">
        <v>205</v>
      </c>
      <c r="E695" s="1" t="s">
        <v>164</v>
      </c>
      <c r="F695" s="1" t="s">
        <v>165</v>
      </c>
      <c r="G695" s="1" t="s">
        <v>202</v>
      </c>
      <c r="H695" s="1" t="s">
        <v>85</v>
      </c>
      <c r="I695" s="31">
        <v>1</v>
      </c>
      <c r="J695" s="32">
        <v>7.74</v>
      </c>
      <c r="K695" s="32">
        <v>7.74</v>
      </c>
      <c r="L695" s="32">
        <v>4.32</v>
      </c>
      <c r="M695" s="32">
        <v>3.42</v>
      </c>
      <c r="N695" s="1" t="s">
        <v>111</v>
      </c>
      <c r="O695" s="1" t="s">
        <v>78</v>
      </c>
    </row>
    <row r="696" spans="1:15" ht="18.95" customHeight="1" x14ac:dyDescent="0.25">
      <c r="A696" s="1" t="s">
        <v>949</v>
      </c>
      <c r="B696" s="30">
        <v>45869.5</v>
      </c>
      <c r="C696" s="1" t="s">
        <v>950</v>
      </c>
      <c r="D696" s="1" t="s">
        <v>951</v>
      </c>
      <c r="E696" s="1" t="s">
        <v>212</v>
      </c>
      <c r="F696" s="1" t="s">
        <v>83</v>
      </c>
      <c r="G696" s="1" t="s">
        <v>188</v>
      </c>
      <c r="H696" s="1" t="s">
        <v>76</v>
      </c>
      <c r="I696" s="31">
        <v>2</v>
      </c>
      <c r="J696" s="32">
        <v>86.69</v>
      </c>
      <c r="K696" s="32">
        <v>173.38</v>
      </c>
      <c r="L696" s="32">
        <v>121.68</v>
      </c>
      <c r="M696" s="32">
        <v>51.7</v>
      </c>
      <c r="N696" s="1" t="s">
        <v>117</v>
      </c>
      <c r="O696" s="1" t="s">
        <v>78</v>
      </c>
    </row>
    <row r="697" spans="1:15" ht="18.95" customHeight="1" x14ac:dyDescent="0.25">
      <c r="A697" s="1" t="s">
        <v>949</v>
      </c>
      <c r="B697" s="30">
        <v>45869.5</v>
      </c>
      <c r="C697" s="1" t="s">
        <v>950</v>
      </c>
      <c r="D697" s="1" t="s">
        <v>951</v>
      </c>
      <c r="E697" s="1" t="s">
        <v>212</v>
      </c>
      <c r="F697" s="1" t="s">
        <v>83</v>
      </c>
      <c r="G697" s="1" t="s">
        <v>306</v>
      </c>
      <c r="H697" s="1" t="s">
        <v>76</v>
      </c>
      <c r="I697" s="31">
        <v>2</v>
      </c>
      <c r="J697" s="32">
        <v>25.49</v>
      </c>
      <c r="K697" s="32">
        <v>50.98</v>
      </c>
      <c r="L697" s="32">
        <v>26.14</v>
      </c>
      <c r="M697" s="32">
        <v>24.84</v>
      </c>
      <c r="N697" s="1" t="s">
        <v>117</v>
      </c>
      <c r="O697" s="1" t="s">
        <v>78</v>
      </c>
    </row>
    <row r="698" spans="1:15" ht="18.95" customHeight="1" x14ac:dyDescent="0.25">
      <c r="A698" s="1" t="s">
        <v>952</v>
      </c>
      <c r="B698" s="30">
        <v>45869.5</v>
      </c>
      <c r="C698" s="1" t="s">
        <v>328</v>
      </c>
      <c r="D698" s="1" t="s">
        <v>329</v>
      </c>
      <c r="E698" s="1" t="s">
        <v>330</v>
      </c>
      <c r="F698" s="1" t="s">
        <v>238</v>
      </c>
      <c r="G698" s="1" t="s">
        <v>84</v>
      </c>
      <c r="H698" s="1" t="s">
        <v>85</v>
      </c>
      <c r="I698" s="31">
        <v>2</v>
      </c>
      <c r="J698" s="32">
        <v>9.17</v>
      </c>
      <c r="K698" s="32">
        <v>18.34</v>
      </c>
      <c r="L698" s="32">
        <v>8.31</v>
      </c>
      <c r="M698" s="32">
        <v>10.029999999999999</v>
      </c>
      <c r="N698" s="1" t="s">
        <v>117</v>
      </c>
      <c r="O698" s="1" t="s">
        <v>233</v>
      </c>
    </row>
    <row r="699" spans="1:15" ht="18.95" customHeight="1" x14ac:dyDescent="0.25">
      <c r="A699" s="1" t="s">
        <v>953</v>
      </c>
      <c r="B699" s="30">
        <v>45869.5</v>
      </c>
      <c r="C699" s="1" t="s">
        <v>210</v>
      </c>
      <c r="D699" s="1" t="s">
        <v>211</v>
      </c>
      <c r="E699" s="1" t="s">
        <v>212</v>
      </c>
      <c r="F699" s="1" t="s">
        <v>83</v>
      </c>
      <c r="G699" s="1" t="s">
        <v>98</v>
      </c>
      <c r="H699" s="1" t="s">
        <v>99</v>
      </c>
      <c r="I699" s="31">
        <v>3</v>
      </c>
      <c r="J699" s="32">
        <v>27.53</v>
      </c>
      <c r="K699" s="32">
        <v>82.59</v>
      </c>
      <c r="L699" s="32">
        <v>51.35</v>
      </c>
      <c r="M699" s="32">
        <v>31.24</v>
      </c>
      <c r="N699" s="1" t="s">
        <v>111</v>
      </c>
      <c r="O699" s="1" t="s">
        <v>112</v>
      </c>
    </row>
    <row r="700" spans="1:15" ht="18.95" customHeight="1" x14ac:dyDescent="0.25">
      <c r="A700" s="1" t="s">
        <v>954</v>
      </c>
      <c r="B700" s="30">
        <v>45871.5</v>
      </c>
      <c r="C700" s="1" t="s">
        <v>167</v>
      </c>
      <c r="D700" s="1" t="s">
        <v>168</v>
      </c>
      <c r="E700" s="1" t="s">
        <v>169</v>
      </c>
      <c r="F700" s="1" t="s">
        <v>170</v>
      </c>
      <c r="G700" s="1" t="s">
        <v>213</v>
      </c>
      <c r="H700" s="1" t="s">
        <v>93</v>
      </c>
      <c r="I700" s="31">
        <v>2</v>
      </c>
      <c r="J700" s="32">
        <v>33.65</v>
      </c>
      <c r="K700" s="32">
        <v>67.3</v>
      </c>
      <c r="L700" s="32">
        <v>42.23</v>
      </c>
      <c r="M700" s="32">
        <v>25.07</v>
      </c>
      <c r="N700" s="1" t="s">
        <v>86</v>
      </c>
      <c r="O700" s="1" t="s">
        <v>118</v>
      </c>
    </row>
    <row r="701" spans="1:15" ht="18.95" customHeight="1" x14ac:dyDescent="0.25">
      <c r="A701" s="1" t="s">
        <v>955</v>
      </c>
      <c r="B701" s="30">
        <v>45872.5</v>
      </c>
      <c r="C701" s="1" t="s">
        <v>900</v>
      </c>
      <c r="D701" s="1" t="s">
        <v>901</v>
      </c>
      <c r="E701" s="1" t="s">
        <v>212</v>
      </c>
      <c r="F701" s="1" t="s">
        <v>83</v>
      </c>
      <c r="G701" s="1" t="s">
        <v>127</v>
      </c>
      <c r="H701" s="1" t="s">
        <v>128</v>
      </c>
      <c r="I701" s="31">
        <v>1</v>
      </c>
      <c r="J701" s="32">
        <v>25.49</v>
      </c>
      <c r="K701" s="32">
        <v>25.49</v>
      </c>
      <c r="L701" s="32">
        <v>15.99</v>
      </c>
      <c r="M701" s="32">
        <v>9.5</v>
      </c>
      <c r="N701" s="1" t="s">
        <v>117</v>
      </c>
      <c r="O701" s="1" t="s">
        <v>112</v>
      </c>
    </row>
    <row r="702" spans="1:15" ht="18.95" customHeight="1" x14ac:dyDescent="0.25">
      <c r="A702" s="1" t="s">
        <v>955</v>
      </c>
      <c r="B702" s="30">
        <v>45872.5</v>
      </c>
      <c r="C702" s="1" t="s">
        <v>900</v>
      </c>
      <c r="D702" s="1" t="s">
        <v>901</v>
      </c>
      <c r="E702" s="1" t="s">
        <v>212</v>
      </c>
      <c r="F702" s="1" t="s">
        <v>83</v>
      </c>
      <c r="G702" s="1" t="s">
        <v>202</v>
      </c>
      <c r="H702" s="1" t="s">
        <v>85</v>
      </c>
      <c r="I702" s="31">
        <v>2</v>
      </c>
      <c r="J702" s="32">
        <v>8.15</v>
      </c>
      <c r="K702" s="32">
        <v>16.3</v>
      </c>
      <c r="L702" s="32">
        <v>9.09</v>
      </c>
      <c r="M702" s="32">
        <v>7.21</v>
      </c>
      <c r="N702" s="1" t="s">
        <v>117</v>
      </c>
      <c r="O702" s="1" t="s">
        <v>112</v>
      </c>
    </row>
    <row r="703" spans="1:15" ht="18.95" customHeight="1" x14ac:dyDescent="0.25">
      <c r="A703" s="1" t="s">
        <v>956</v>
      </c>
      <c r="B703" s="30">
        <v>45873.5</v>
      </c>
      <c r="C703" s="1" t="s">
        <v>102</v>
      </c>
      <c r="D703" s="1" t="s">
        <v>103</v>
      </c>
      <c r="E703" s="1" t="s">
        <v>104</v>
      </c>
      <c r="F703" s="1" t="s">
        <v>105</v>
      </c>
      <c r="G703" s="1" t="s">
        <v>213</v>
      </c>
      <c r="H703" s="1" t="s">
        <v>93</v>
      </c>
      <c r="I703" s="31">
        <v>3</v>
      </c>
      <c r="J703" s="32">
        <v>31.97</v>
      </c>
      <c r="K703" s="32">
        <v>95.91</v>
      </c>
      <c r="L703" s="32">
        <v>57.47</v>
      </c>
      <c r="M703" s="32">
        <v>38.44</v>
      </c>
      <c r="N703" s="1" t="s">
        <v>86</v>
      </c>
      <c r="O703" s="1" t="s">
        <v>233</v>
      </c>
    </row>
    <row r="704" spans="1:15" ht="18.95" customHeight="1" x14ac:dyDescent="0.25">
      <c r="A704" s="1" t="s">
        <v>957</v>
      </c>
      <c r="B704" s="30">
        <v>45874.5</v>
      </c>
      <c r="C704" s="1" t="s">
        <v>593</v>
      </c>
      <c r="D704" s="1" t="s">
        <v>594</v>
      </c>
      <c r="E704" s="1" t="s">
        <v>169</v>
      </c>
      <c r="F704" s="1" t="s">
        <v>170</v>
      </c>
      <c r="G704" s="1" t="s">
        <v>189</v>
      </c>
      <c r="H704" s="1" t="s">
        <v>93</v>
      </c>
      <c r="I704" s="31">
        <v>1</v>
      </c>
      <c r="J704" s="32">
        <v>45.89</v>
      </c>
      <c r="K704" s="32">
        <v>45.89</v>
      </c>
      <c r="L704" s="32">
        <v>28.33</v>
      </c>
      <c r="M704" s="32">
        <v>17.559999999999999</v>
      </c>
      <c r="N704" s="1" t="s">
        <v>315</v>
      </c>
      <c r="O704" s="1" t="s">
        <v>112</v>
      </c>
    </row>
    <row r="705" spans="1:15" ht="18.95" customHeight="1" x14ac:dyDescent="0.25">
      <c r="A705" s="1" t="s">
        <v>957</v>
      </c>
      <c r="B705" s="30">
        <v>45874.5</v>
      </c>
      <c r="C705" s="1" t="s">
        <v>593</v>
      </c>
      <c r="D705" s="1" t="s">
        <v>594</v>
      </c>
      <c r="E705" s="1" t="s">
        <v>169</v>
      </c>
      <c r="F705" s="1" t="s">
        <v>170</v>
      </c>
      <c r="G705" s="1" t="s">
        <v>139</v>
      </c>
      <c r="H705" s="1" t="s">
        <v>128</v>
      </c>
      <c r="I705" s="31">
        <v>1</v>
      </c>
      <c r="J705" s="32">
        <v>71.39</v>
      </c>
      <c r="K705" s="32">
        <v>71.39</v>
      </c>
      <c r="L705" s="32">
        <v>49.05</v>
      </c>
      <c r="M705" s="32">
        <v>22.34</v>
      </c>
      <c r="N705" s="1" t="s">
        <v>315</v>
      </c>
      <c r="O705" s="1" t="s">
        <v>112</v>
      </c>
    </row>
    <row r="706" spans="1:15" ht="18.95" customHeight="1" x14ac:dyDescent="0.25">
      <c r="A706" s="1" t="s">
        <v>957</v>
      </c>
      <c r="B706" s="30">
        <v>45874.5</v>
      </c>
      <c r="C706" s="1" t="s">
        <v>593</v>
      </c>
      <c r="D706" s="1" t="s">
        <v>594</v>
      </c>
      <c r="E706" s="1" t="s">
        <v>169</v>
      </c>
      <c r="F706" s="1" t="s">
        <v>170</v>
      </c>
      <c r="G706" s="1" t="s">
        <v>116</v>
      </c>
      <c r="H706" s="1" t="s">
        <v>76</v>
      </c>
      <c r="I706" s="31">
        <v>1</v>
      </c>
      <c r="J706" s="32">
        <v>15.29</v>
      </c>
      <c r="K706" s="32">
        <v>15.29</v>
      </c>
      <c r="L706" s="32">
        <v>7.31</v>
      </c>
      <c r="M706" s="32">
        <v>7.98</v>
      </c>
      <c r="N706" s="1" t="s">
        <v>315</v>
      </c>
      <c r="O706" s="1" t="s">
        <v>112</v>
      </c>
    </row>
    <row r="707" spans="1:15" ht="18.95" customHeight="1" x14ac:dyDescent="0.25">
      <c r="A707" s="1" t="s">
        <v>958</v>
      </c>
      <c r="B707" s="30">
        <v>45875.5</v>
      </c>
      <c r="C707" s="1" t="s">
        <v>114</v>
      </c>
      <c r="D707" s="1" t="s">
        <v>115</v>
      </c>
      <c r="E707" s="1" t="s">
        <v>104</v>
      </c>
      <c r="F707" s="1" t="s">
        <v>105</v>
      </c>
      <c r="G707" s="1" t="s">
        <v>195</v>
      </c>
      <c r="H707" s="1" t="s">
        <v>128</v>
      </c>
      <c r="I707" s="31">
        <v>3</v>
      </c>
      <c r="J707" s="32">
        <v>142.79</v>
      </c>
      <c r="K707" s="32">
        <v>428.37</v>
      </c>
      <c r="L707" s="32">
        <v>354.06</v>
      </c>
      <c r="M707" s="32">
        <v>74.31</v>
      </c>
      <c r="N707" s="1" t="s">
        <v>117</v>
      </c>
      <c r="O707" s="1" t="s">
        <v>118</v>
      </c>
    </row>
    <row r="708" spans="1:15" ht="18.95" customHeight="1" x14ac:dyDescent="0.25">
      <c r="A708" s="1" t="s">
        <v>959</v>
      </c>
      <c r="B708" s="30">
        <v>45876.5</v>
      </c>
      <c r="C708" s="1" t="s">
        <v>365</v>
      </c>
      <c r="D708" s="1" t="s">
        <v>366</v>
      </c>
      <c r="E708" s="1" t="s">
        <v>330</v>
      </c>
      <c r="F708" s="1" t="s">
        <v>238</v>
      </c>
      <c r="G708" s="1" t="s">
        <v>92</v>
      </c>
      <c r="H708" s="1" t="s">
        <v>93</v>
      </c>
      <c r="I708" s="31">
        <v>1</v>
      </c>
      <c r="J708" s="32">
        <v>67.819999999999993</v>
      </c>
      <c r="K708" s="32">
        <v>67.819999999999993</v>
      </c>
      <c r="L708" s="32">
        <v>47.06</v>
      </c>
      <c r="M708" s="32">
        <v>20.76</v>
      </c>
      <c r="N708" s="1" t="s">
        <v>77</v>
      </c>
      <c r="O708" s="1" t="s">
        <v>78</v>
      </c>
    </row>
    <row r="709" spans="1:15" ht="18.95" customHeight="1" x14ac:dyDescent="0.25">
      <c r="A709" s="1" t="s">
        <v>960</v>
      </c>
      <c r="B709" s="30">
        <v>45877.5</v>
      </c>
      <c r="C709" s="1" t="s">
        <v>167</v>
      </c>
      <c r="D709" s="1" t="s">
        <v>168</v>
      </c>
      <c r="E709" s="1" t="s">
        <v>169</v>
      </c>
      <c r="F709" s="1" t="s">
        <v>170</v>
      </c>
      <c r="G709" s="1" t="s">
        <v>75</v>
      </c>
      <c r="H709" s="1" t="s">
        <v>76</v>
      </c>
      <c r="I709" s="31">
        <v>1</v>
      </c>
      <c r="J709" s="32">
        <v>26.15</v>
      </c>
      <c r="K709" s="32">
        <v>26.15</v>
      </c>
      <c r="L709" s="32">
        <v>14.59</v>
      </c>
      <c r="M709" s="32">
        <v>11.56</v>
      </c>
      <c r="N709" s="1" t="s">
        <v>117</v>
      </c>
      <c r="O709" s="1" t="s">
        <v>78</v>
      </c>
    </row>
    <row r="710" spans="1:15" ht="18.95" customHeight="1" x14ac:dyDescent="0.25">
      <c r="A710" s="1" t="s">
        <v>961</v>
      </c>
      <c r="B710" s="30">
        <v>45877.5</v>
      </c>
      <c r="C710" s="1" t="s">
        <v>335</v>
      </c>
      <c r="D710" s="1" t="s">
        <v>336</v>
      </c>
      <c r="E710" s="1" t="s">
        <v>90</v>
      </c>
      <c r="F710" s="1" t="s">
        <v>91</v>
      </c>
      <c r="G710" s="1" t="s">
        <v>226</v>
      </c>
      <c r="H710" s="1" t="s">
        <v>85</v>
      </c>
      <c r="I710" s="31">
        <v>3</v>
      </c>
      <c r="J710" s="32">
        <v>72.67</v>
      </c>
      <c r="K710" s="32">
        <v>218.01</v>
      </c>
      <c r="L710" s="32">
        <v>155.74</v>
      </c>
      <c r="M710" s="32">
        <v>62.27</v>
      </c>
      <c r="N710" s="1" t="s">
        <v>117</v>
      </c>
      <c r="O710" s="1" t="s">
        <v>233</v>
      </c>
    </row>
    <row r="711" spans="1:15" ht="18.95" customHeight="1" x14ac:dyDescent="0.25">
      <c r="A711" s="1" t="s">
        <v>961</v>
      </c>
      <c r="B711" s="30">
        <v>45877.5</v>
      </c>
      <c r="C711" s="1" t="s">
        <v>335</v>
      </c>
      <c r="D711" s="1" t="s">
        <v>336</v>
      </c>
      <c r="E711" s="1" t="s">
        <v>90</v>
      </c>
      <c r="F711" s="1" t="s">
        <v>91</v>
      </c>
      <c r="G711" s="1" t="s">
        <v>138</v>
      </c>
      <c r="H711" s="1" t="s">
        <v>99</v>
      </c>
      <c r="I711" s="31">
        <v>3</v>
      </c>
      <c r="J711" s="32">
        <v>30.34</v>
      </c>
      <c r="K711" s="32">
        <v>91.02</v>
      </c>
      <c r="L711" s="32">
        <v>66.650000000000006</v>
      </c>
      <c r="M711" s="32">
        <v>24.37</v>
      </c>
      <c r="N711" s="1" t="s">
        <v>117</v>
      </c>
      <c r="O711" s="1" t="s">
        <v>233</v>
      </c>
    </row>
    <row r="712" spans="1:15" ht="18.95" customHeight="1" x14ac:dyDescent="0.25">
      <c r="A712" s="1" t="s">
        <v>962</v>
      </c>
      <c r="B712" s="30">
        <v>45878.5</v>
      </c>
      <c r="C712" s="1" t="s">
        <v>267</v>
      </c>
      <c r="D712" s="1" t="s">
        <v>268</v>
      </c>
      <c r="E712" s="1" t="s">
        <v>212</v>
      </c>
      <c r="F712" s="1" t="s">
        <v>83</v>
      </c>
      <c r="G712" s="1" t="s">
        <v>230</v>
      </c>
      <c r="H712" s="1" t="s">
        <v>128</v>
      </c>
      <c r="I712" s="31">
        <v>1</v>
      </c>
      <c r="J712" s="32">
        <v>45.89</v>
      </c>
      <c r="K712" s="32">
        <v>45.89</v>
      </c>
      <c r="L712" s="32">
        <v>30.16</v>
      </c>
      <c r="M712" s="32">
        <v>15.73</v>
      </c>
      <c r="N712" s="1" t="s">
        <v>86</v>
      </c>
      <c r="O712" s="1" t="s">
        <v>112</v>
      </c>
    </row>
    <row r="713" spans="1:15" ht="18.95" customHeight="1" x14ac:dyDescent="0.25">
      <c r="A713" s="1" t="s">
        <v>963</v>
      </c>
      <c r="B713" s="30">
        <v>45881.5</v>
      </c>
      <c r="C713" s="1" t="s">
        <v>224</v>
      </c>
      <c r="D713" s="1" t="s">
        <v>225</v>
      </c>
      <c r="E713" s="1" t="s">
        <v>74</v>
      </c>
      <c r="F713" s="1" t="s">
        <v>74</v>
      </c>
      <c r="G713" s="1" t="s">
        <v>127</v>
      </c>
      <c r="H713" s="1" t="s">
        <v>128</v>
      </c>
      <c r="I713" s="31">
        <v>1</v>
      </c>
      <c r="J713" s="32">
        <v>20.39</v>
      </c>
      <c r="K713" s="32">
        <v>20.39</v>
      </c>
      <c r="L713" s="32">
        <v>15.58</v>
      </c>
      <c r="M713" s="32">
        <v>4.8099999999999996</v>
      </c>
      <c r="N713" s="1" t="s">
        <v>117</v>
      </c>
      <c r="O713" s="1" t="s">
        <v>112</v>
      </c>
    </row>
    <row r="714" spans="1:15" ht="18.95" customHeight="1" x14ac:dyDescent="0.25">
      <c r="A714" s="1" t="s">
        <v>964</v>
      </c>
      <c r="B714" s="30">
        <v>45881.5</v>
      </c>
      <c r="C714" s="1" t="s">
        <v>453</v>
      </c>
      <c r="D714" s="1" t="s">
        <v>454</v>
      </c>
      <c r="E714" s="1" t="s">
        <v>90</v>
      </c>
      <c r="F714" s="1" t="s">
        <v>91</v>
      </c>
      <c r="G714" s="1" t="s">
        <v>98</v>
      </c>
      <c r="H714" s="1" t="s">
        <v>99</v>
      </c>
      <c r="I714" s="31">
        <v>1</v>
      </c>
      <c r="J714" s="32">
        <v>30.59</v>
      </c>
      <c r="K714" s="32">
        <v>30.59</v>
      </c>
      <c r="L714" s="32">
        <v>17.36</v>
      </c>
      <c r="M714" s="32">
        <v>13.23</v>
      </c>
      <c r="N714" s="1" t="s">
        <v>86</v>
      </c>
      <c r="O714" s="1" t="s">
        <v>112</v>
      </c>
    </row>
    <row r="715" spans="1:15" ht="18.95" customHeight="1" x14ac:dyDescent="0.25">
      <c r="A715" s="1" t="s">
        <v>965</v>
      </c>
      <c r="B715" s="30">
        <v>45888.5</v>
      </c>
      <c r="C715" s="1" t="s">
        <v>257</v>
      </c>
      <c r="D715" s="1" t="s">
        <v>258</v>
      </c>
      <c r="E715" s="1" t="s">
        <v>212</v>
      </c>
      <c r="F715" s="1" t="s">
        <v>83</v>
      </c>
      <c r="G715" s="1" t="s">
        <v>110</v>
      </c>
      <c r="H715" s="1" t="s">
        <v>85</v>
      </c>
      <c r="I715" s="31">
        <v>1</v>
      </c>
      <c r="J715" s="32">
        <v>13.25</v>
      </c>
      <c r="K715" s="32">
        <v>13.25</v>
      </c>
      <c r="L715" s="32">
        <v>7.13</v>
      </c>
      <c r="M715" s="32">
        <v>6.12</v>
      </c>
      <c r="N715" s="1" t="s">
        <v>77</v>
      </c>
      <c r="O715" s="1" t="s">
        <v>118</v>
      </c>
    </row>
    <row r="716" spans="1:15" ht="18.95" customHeight="1" x14ac:dyDescent="0.25">
      <c r="A716" s="1" t="s">
        <v>966</v>
      </c>
      <c r="B716" s="30">
        <v>45889.5</v>
      </c>
      <c r="C716" s="1" t="s">
        <v>177</v>
      </c>
      <c r="D716" s="1" t="s">
        <v>178</v>
      </c>
      <c r="E716" s="1" t="s">
        <v>97</v>
      </c>
      <c r="F716" s="1" t="s">
        <v>91</v>
      </c>
      <c r="G716" s="1" t="s">
        <v>75</v>
      </c>
      <c r="H716" s="1" t="s">
        <v>76</v>
      </c>
      <c r="I716" s="31">
        <v>3</v>
      </c>
      <c r="J716" s="32">
        <v>24.78</v>
      </c>
      <c r="K716" s="32">
        <v>74.34</v>
      </c>
      <c r="L716" s="32">
        <v>43.54</v>
      </c>
      <c r="M716" s="32">
        <v>30.8</v>
      </c>
      <c r="N716" s="1" t="s">
        <v>86</v>
      </c>
      <c r="O716" s="1" t="s">
        <v>78</v>
      </c>
    </row>
    <row r="717" spans="1:15" ht="18.95" customHeight="1" x14ac:dyDescent="0.25">
      <c r="A717" s="1" t="s">
        <v>966</v>
      </c>
      <c r="B717" s="30">
        <v>45889.5</v>
      </c>
      <c r="C717" s="1" t="s">
        <v>177</v>
      </c>
      <c r="D717" s="1" t="s">
        <v>178</v>
      </c>
      <c r="E717" s="1" t="s">
        <v>97</v>
      </c>
      <c r="F717" s="1" t="s">
        <v>91</v>
      </c>
      <c r="G717" s="1" t="s">
        <v>157</v>
      </c>
      <c r="H717" s="1" t="s">
        <v>93</v>
      </c>
      <c r="I717" s="31">
        <v>2</v>
      </c>
      <c r="J717" s="32">
        <v>20.39</v>
      </c>
      <c r="K717" s="32">
        <v>40.78</v>
      </c>
      <c r="L717" s="32">
        <v>20.100000000000001</v>
      </c>
      <c r="M717" s="32">
        <v>20.68</v>
      </c>
      <c r="N717" s="1" t="s">
        <v>86</v>
      </c>
      <c r="O717" s="1" t="s">
        <v>78</v>
      </c>
    </row>
    <row r="718" spans="1:15" ht="18.95" customHeight="1" x14ac:dyDescent="0.25">
      <c r="A718" s="1" t="s">
        <v>967</v>
      </c>
      <c r="B718" s="30">
        <v>45889.5</v>
      </c>
      <c r="C718" s="1" t="s">
        <v>221</v>
      </c>
      <c r="D718" s="1" t="s">
        <v>222</v>
      </c>
      <c r="E718" s="1" t="s">
        <v>183</v>
      </c>
      <c r="F718" s="1" t="s">
        <v>137</v>
      </c>
      <c r="G718" s="1" t="s">
        <v>127</v>
      </c>
      <c r="H718" s="1" t="s">
        <v>128</v>
      </c>
      <c r="I718" s="31">
        <v>2</v>
      </c>
      <c r="J718" s="32">
        <v>25.49</v>
      </c>
      <c r="K718" s="32">
        <v>50.98</v>
      </c>
      <c r="L718" s="32">
        <v>34.020000000000003</v>
      </c>
      <c r="M718" s="32">
        <v>16.96</v>
      </c>
      <c r="N718" s="1" t="s">
        <v>117</v>
      </c>
      <c r="O718" s="1" t="s">
        <v>118</v>
      </c>
    </row>
    <row r="719" spans="1:15" ht="18.95" customHeight="1" x14ac:dyDescent="0.25">
      <c r="A719" s="1" t="s">
        <v>968</v>
      </c>
      <c r="B719" s="30">
        <v>45892.5</v>
      </c>
      <c r="C719" s="1" t="s">
        <v>373</v>
      </c>
      <c r="D719" s="1" t="s">
        <v>374</v>
      </c>
      <c r="E719" s="1" t="s">
        <v>90</v>
      </c>
      <c r="F719" s="1" t="s">
        <v>91</v>
      </c>
      <c r="G719" s="1" t="s">
        <v>143</v>
      </c>
      <c r="H719" s="1" t="s">
        <v>128</v>
      </c>
      <c r="I719" s="31">
        <v>1</v>
      </c>
      <c r="J719" s="32">
        <v>96.89</v>
      </c>
      <c r="K719" s="32">
        <v>96.89</v>
      </c>
      <c r="L719" s="32">
        <v>75.72</v>
      </c>
      <c r="M719" s="32">
        <v>21.17</v>
      </c>
      <c r="N719" s="1" t="s">
        <v>117</v>
      </c>
      <c r="O719" s="1" t="s">
        <v>233</v>
      </c>
    </row>
    <row r="720" spans="1:15" ht="18.95" customHeight="1" x14ac:dyDescent="0.25">
      <c r="A720" s="1" t="s">
        <v>968</v>
      </c>
      <c r="B720" s="30">
        <v>45892.5</v>
      </c>
      <c r="C720" s="1" t="s">
        <v>373</v>
      </c>
      <c r="D720" s="1" t="s">
        <v>374</v>
      </c>
      <c r="E720" s="1" t="s">
        <v>90</v>
      </c>
      <c r="F720" s="1" t="s">
        <v>91</v>
      </c>
      <c r="G720" s="1" t="s">
        <v>157</v>
      </c>
      <c r="H720" s="1" t="s">
        <v>93</v>
      </c>
      <c r="I720" s="31">
        <v>3</v>
      </c>
      <c r="J720" s="32">
        <v>20.39</v>
      </c>
      <c r="K720" s="32">
        <v>61.17</v>
      </c>
      <c r="L720" s="32">
        <v>30.76</v>
      </c>
      <c r="M720" s="32">
        <v>30.41</v>
      </c>
      <c r="N720" s="1" t="s">
        <v>117</v>
      </c>
      <c r="O720" s="1" t="s">
        <v>233</v>
      </c>
    </row>
    <row r="721" spans="1:15" ht="18.95" customHeight="1" x14ac:dyDescent="0.25">
      <c r="A721" s="1" t="s">
        <v>968</v>
      </c>
      <c r="B721" s="30">
        <v>45892.5</v>
      </c>
      <c r="C721" s="1" t="s">
        <v>373</v>
      </c>
      <c r="D721" s="1" t="s">
        <v>374</v>
      </c>
      <c r="E721" s="1" t="s">
        <v>90</v>
      </c>
      <c r="F721" s="1" t="s">
        <v>91</v>
      </c>
      <c r="G721" s="1" t="s">
        <v>151</v>
      </c>
      <c r="H721" s="1" t="s">
        <v>76</v>
      </c>
      <c r="I721" s="31">
        <v>1</v>
      </c>
      <c r="J721" s="32">
        <v>17.43</v>
      </c>
      <c r="K721" s="32">
        <v>17.43</v>
      </c>
      <c r="L721" s="32">
        <v>9.42</v>
      </c>
      <c r="M721" s="32">
        <v>8.01</v>
      </c>
      <c r="N721" s="1" t="s">
        <v>117</v>
      </c>
      <c r="O721" s="1" t="s">
        <v>233</v>
      </c>
    </row>
    <row r="722" spans="1:15" ht="18.95" customHeight="1" x14ac:dyDescent="0.25">
      <c r="A722" s="1" t="s">
        <v>969</v>
      </c>
      <c r="B722" s="30">
        <v>45893.5</v>
      </c>
      <c r="C722" s="1" t="s">
        <v>257</v>
      </c>
      <c r="D722" s="1" t="s">
        <v>258</v>
      </c>
      <c r="E722" s="1" t="s">
        <v>212</v>
      </c>
      <c r="F722" s="1" t="s">
        <v>83</v>
      </c>
      <c r="G722" s="1" t="s">
        <v>143</v>
      </c>
      <c r="H722" s="1" t="s">
        <v>128</v>
      </c>
      <c r="I722" s="31">
        <v>1</v>
      </c>
      <c r="J722" s="32">
        <v>96.89</v>
      </c>
      <c r="K722" s="32">
        <v>96.89</v>
      </c>
      <c r="L722" s="32">
        <v>77.17</v>
      </c>
      <c r="M722" s="32">
        <v>19.72</v>
      </c>
      <c r="N722" s="1" t="s">
        <v>117</v>
      </c>
      <c r="O722" s="1" t="s">
        <v>112</v>
      </c>
    </row>
    <row r="723" spans="1:15" ht="18.95" customHeight="1" x14ac:dyDescent="0.25">
      <c r="A723" s="1" t="s">
        <v>970</v>
      </c>
      <c r="B723" s="30">
        <v>45893.5</v>
      </c>
      <c r="C723" s="1" t="s">
        <v>596</v>
      </c>
      <c r="D723" s="1" t="s">
        <v>597</v>
      </c>
      <c r="E723" s="1" t="s">
        <v>104</v>
      </c>
      <c r="F723" s="1" t="s">
        <v>105</v>
      </c>
      <c r="G723" s="1" t="s">
        <v>179</v>
      </c>
      <c r="H723" s="1" t="s">
        <v>128</v>
      </c>
      <c r="I723" s="31">
        <v>3</v>
      </c>
      <c r="J723" s="32">
        <v>40.79</v>
      </c>
      <c r="K723" s="32">
        <v>122.37</v>
      </c>
      <c r="L723" s="32">
        <v>70.05</v>
      </c>
      <c r="M723" s="32">
        <v>52.32</v>
      </c>
      <c r="N723" s="1" t="s">
        <v>86</v>
      </c>
      <c r="O723" s="1" t="s">
        <v>78</v>
      </c>
    </row>
    <row r="724" spans="1:15" ht="18.95" customHeight="1" x14ac:dyDescent="0.25">
      <c r="A724" s="1" t="s">
        <v>970</v>
      </c>
      <c r="B724" s="30">
        <v>45893.5</v>
      </c>
      <c r="C724" s="1" t="s">
        <v>596</v>
      </c>
      <c r="D724" s="1" t="s">
        <v>597</v>
      </c>
      <c r="E724" s="1" t="s">
        <v>104</v>
      </c>
      <c r="F724" s="1" t="s">
        <v>105</v>
      </c>
      <c r="G724" s="1" t="s">
        <v>151</v>
      </c>
      <c r="H724" s="1" t="s">
        <v>76</v>
      </c>
      <c r="I724" s="31">
        <v>1</v>
      </c>
      <c r="J724" s="32">
        <v>19.37</v>
      </c>
      <c r="K724" s="32">
        <v>19.37</v>
      </c>
      <c r="L724" s="32">
        <v>9.35</v>
      </c>
      <c r="M724" s="32">
        <v>10.02</v>
      </c>
      <c r="N724" s="1" t="s">
        <v>86</v>
      </c>
      <c r="O724" s="1" t="s">
        <v>78</v>
      </c>
    </row>
    <row r="725" spans="1:15" ht="18.95" customHeight="1" x14ac:dyDescent="0.25">
      <c r="A725" s="1" t="s">
        <v>971</v>
      </c>
      <c r="B725" s="30">
        <v>45894.5</v>
      </c>
      <c r="C725" s="1" t="s">
        <v>162</v>
      </c>
      <c r="D725" s="1" t="s">
        <v>163</v>
      </c>
      <c r="E725" s="1" t="s">
        <v>164</v>
      </c>
      <c r="F725" s="1" t="s">
        <v>165</v>
      </c>
      <c r="G725" s="1" t="s">
        <v>157</v>
      </c>
      <c r="H725" s="1" t="s">
        <v>93</v>
      </c>
      <c r="I725" s="31">
        <v>3</v>
      </c>
      <c r="J725" s="32">
        <v>20.39</v>
      </c>
      <c r="K725" s="32">
        <v>61.17</v>
      </c>
      <c r="L725" s="32">
        <v>30.15</v>
      </c>
      <c r="M725" s="32">
        <v>31.02</v>
      </c>
      <c r="N725" s="1" t="s">
        <v>111</v>
      </c>
      <c r="O725" s="1" t="s">
        <v>78</v>
      </c>
    </row>
    <row r="726" spans="1:15" ht="18.95" customHeight="1" x14ac:dyDescent="0.25">
      <c r="A726" s="1" t="s">
        <v>971</v>
      </c>
      <c r="B726" s="30">
        <v>45894.5</v>
      </c>
      <c r="C726" s="1" t="s">
        <v>162</v>
      </c>
      <c r="D726" s="1" t="s">
        <v>163</v>
      </c>
      <c r="E726" s="1" t="s">
        <v>164</v>
      </c>
      <c r="F726" s="1" t="s">
        <v>165</v>
      </c>
      <c r="G726" s="1" t="s">
        <v>84</v>
      </c>
      <c r="H726" s="1" t="s">
        <v>85</v>
      </c>
      <c r="I726" s="31">
        <v>1</v>
      </c>
      <c r="J726" s="32">
        <v>9.17</v>
      </c>
      <c r="K726" s="32">
        <v>9.17</v>
      </c>
      <c r="L726" s="32">
        <v>4.0599999999999996</v>
      </c>
      <c r="M726" s="32">
        <v>5.1100000000000003</v>
      </c>
      <c r="N726" s="1" t="s">
        <v>111</v>
      </c>
      <c r="O726" s="1" t="s">
        <v>78</v>
      </c>
    </row>
    <row r="727" spans="1:15" ht="18.95" customHeight="1" x14ac:dyDescent="0.25">
      <c r="A727" s="1" t="s">
        <v>972</v>
      </c>
      <c r="B727" s="30">
        <v>45904.5</v>
      </c>
      <c r="C727" s="1" t="s">
        <v>426</v>
      </c>
      <c r="D727" s="1" t="s">
        <v>427</v>
      </c>
      <c r="E727" s="1" t="s">
        <v>237</v>
      </c>
      <c r="F727" s="1" t="s">
        <v>238</v>
      </c>
      <c r="G727" s="1" t="s">
        <v>75</v>
      </c>
      <c r="H727" s="1" t="s">
        <v>76</v>
      </c>
      <c r="I727" s="31">
        <v>1</v>
      </c>
      <c r="J727" s="32">
        <v>27.53</v>
      </c>
      <c r="K727" s="32">
        <v>27.53</v>
      </c>
      <c r="L727" s="32">
        <v>14.66</v>
      </c>
      <c r="M727" s="32">
        <v>12.87</v>
      </c>
      <c r="N727" s="1" t="s">
        <v>111</v>
      </c>
      <c r="O727" s="1" t="s">
        <v>78</v>
      </c>
    </row>
    <row r="728" spans="1:15" ht="18.95" customHeight="1" x14ac:dyDescent="0.25">
      <c r="A728" s="1" t="s">
        <v>973</v>
      </c>
      <c r="B728" s="30">
        <v>45904.5</v>
      </c>
      <c r="C728" s="1" t="s">
        <v>725</v>
      </c>
      <c r="D728" s="1" t="s">
        <v>726</v>
      </c>
      <c r="E728" s="1" t="s">
        <v>90</v>
      </c>
      <c r="F728" s="1" t="s">
        <v>91</v>
      </c>
      <c r="G728" s="1" t="s">
        <v>151</v>
      </c>
      <c r="H728" s="1" t="s">
        <v>76</v>
      </c>
      <c r="I728" s="31">
        <v>1</v>
      </c>
      <c r="J728" s="32">
        <v>19.37</v>
      </c>
      <c r="K728" s="32">
        <v>19.37</v>
      </c>
      <c r="L728" s="32">
        <v>9.35</v>
      </c>
      <c r="M728" s="32">
        <v>10.02</v>
      </c>
      <c r="N728" s="1" t="s">
        <v>117</v>
      </c>
      <c r="O728" s="1" t="s">
        <v>78</v>
      </c>
    </row>
    <row r="729" spans="1:15" ht="18.95" customHeight="1" x14ac:dyDescent="0.25">
      <c r="A729" s="1" t="s">
        <v>974</v>
      </c>
      <c r="B729" s="30">
        <v>45906.5</v>
      </c>
      <c r="C729" s="1" t="s">
        <v>177</v>
      </c>
      <c r="D729" s="1" t="s">
        <v>178</v>
      </c>
      <c r="E729" s="1" t="s">
        <v>97</v>
      </c>
      <c r="F729" s="1" t="s">
        <v>91</v>
      </c>
      <c r="G729" s="1" t="s">
        <v>84</v>
      </c>
      <c r="H729" s="1" t="s">
        <v>85</v>
      </c>
      <c r="I729" s="31">
        <v>1</v>
      </c>
      <c r="J729" s="32">
        <v>9.17</v>
      </c>
      <c r="K729" s="32">
        <v>9.17</v>
      </c>
      <c r="L729" s="32">
        <v>4.29</v>
      </c>
      <c r="M729" s="32">
        <v>4.88</v>
      </c>
      <c r="N729" s="1" t="s">
        <v>86</v>
      </c>
      <c r="O729" s="1" t="s">
        <v>112</v>
      </c>
    </row>
    <row r="730" spans="1:15" ht="18.95" customHeight="1" x14ac:dyDescent="0.25">
      <c r="A730" s="1" t="s">
        <v>975</v>
      </c>
      <c r="B730" s="30">
        <v>45907.5</v>
      </c>
      <c r="C730" s="1" t="s">
        <v>338</v>
      </c>
      <c r="D730" s="1" t="s">
        <v>339</v>
      </c>
      <c r="E730" s="1" t="s">
        <v>243</v>
      </c>
      <c r="F730" s="1" t="s">
        <v>165</v>
      </c>
      <c r="G730" s="1" t="s">
        <v>116</v>
      </c>
      <c r="H730" s="1" t="s">
        <v>76</v>
      </c>
      <c r="I730" s="31">
        <v>5</v>
      </c>
      <c r="J730" s="32">
        <v>13.76</v>
      </c>
      <c r="K730" s="32">
        <v>68.8</v>
      </c>
      <c r="L730" s="32">
        <v>35.93</v>
      </c>
      <c r="M730" s="32">
        <v>32.869999999999997</v>
      </c>
      <c r="N730" s="1" t="s">
        <v>100</v>
      </c>
      <c r="O730" s="1" t="s">
        <v>112</v>
      </c>
    </row>
    <row r="731" spans="1:15" ht="18.95" customHeight="1" x14ac:dyDescent="0.25">
      <c r="A731" s="1" t="s">
        <v>976</v>
      </c>
      <c r="B731" s="30">
        <v>45908.5</v>
      </c>
      <c r="C731" s="1" t="s">
        <v>186</v>
      </c>
      <c r="D731" s="1" t="s">
        <v>187</v>
      </c>
      <c r="E731" s="1" t="s">
        <v>169</v>
      </c>
      <c r="F731" s="1" t="s">
        <v>170</v>
      </c>
      <c r="G731" s="1" t="s">
        <v>110</v>
      </c>
      <c r="H731" s="1" t="s">
        <v>85</v>
      </c>
      <c r="I731" s="31">
        <v>1</v>
      </c>
      <c r="J731" s="32">
        <v>12.59</v>
      </c>
      <c r="K731" s="32">
        <v>12.59</v>
      </c>
      <c r="L731" s="32">
        <v>6.54</v>
      </c>
      <c r="M731" s="32">
        <v>6.05</v>
      </c>
      <c r="N731" s="1" t="s">
        <v>111</v>
      </c>
      <c r="O731" s="1" t="s">
        <v>112</v>
      </c>
    </row>
    <row r="732" spans="1:15" ht="18.95" customHeight="1" x14ac:dyDescent="0.25">
      <c r="A732" s="1" t="s">
        <v>977</v>
      </c>
      <c r="B732" s="30">
        <v>45908.5</v>
      </c>
      <c r="C732" s="1" t="s">
        <v>264</v>
      </c>
      <c r="D732" s="1" t="s">
        <v>265</v>
      </c>
      <c r="E732" s="1" t="s">
        <v>90</v>
      </c>
      <c r="F732" s="1" t="s">
        <v>91</v>
      </c>
      <c r="G732" s="1" t="s">
        <v>230</v>
      </c>
      <c r="H732" s="1" t="s">
        <v>128</v>
      </c>
      <c r="I732" s="31">
        <v>1</v>
      </c>
      <c r="J732" s="32">
        <v>45.89</v>
      </c>
      <c r="K732" s="32">
        <v>45.89</v>
      </c>
      <c r="L732" s="32">
        <v>29.47</v>
      </c>
      <c r="M732" s="32">
        <v>16.420000000000002</v>
      </c>
      <c r="N732" s="1" t="s">
        <v>279</v>
      </c>
      <c r="O732" s="1" t="s">
        <v>233</v>
      </c>
    </row>
    <row r="733" spans="1:15" ht="18.95" customHeight="1" x14ac:dyDescent="0.25">
      <c r="A733" s="1" t="s">
        <v>978</v>
      </c>
      <c r="B733" s="30">
        <v>45908.5</v>
      </c>
      <c r="C733" s="1" t="s">
        <v>389</v>
      </c>
      <c r="D733" s="1" t="s">
        <v>390</v>
      </c>
      <c r="E733" s="1" t="s">
        <v>391</v>
      </c>
      <c r="F733" s="1" t="s">
        <v>170</v>
      </c>
      <c r="G733" s="1" t="s">
        <v>202</v>
      </c>
      <c r="H733" s="1" t="s">
        <v>85</v>
      </c>
      <c r="I733" s="31">
        <v>2</v>
      </c>
      <c r="J733" s="32">
        <v>8.15</v>
      </c>
      <c r="K733" s="32">
        <v>16.3</v>
      </c>
      <c r="L733" s="32">
        <v>9.09</v>
      </c>
      <c r="M733" s="32">
        <v>7.21</v>
      </c>
      <c r="N733" s="1" t="s">
        <v>100</v>
      </c>
      <c r="O733" s="1" t="s">
        <v>112</v>
      </c>
    </row>
    <row r="734" spans="1:15" ht="18.95" customHeight="1" x14ac:dyDescent="0.25">
      <c r="A734" s="1" t="s">
        <v>979</v>
      </c>
      <c r="B734" s="30">
        <v>45913.5</v>
      </c>
      <c r="C734" s="1" t="s">
        <v>420</v>
      </c>
      <c r="D734" s="1" t="s">
        <v>421</v>
      </c>
      <c r="E734" s="1" t="s">
        <v>74</v>
      </c>
      <c r="F734" s="1" t="s">
        <v>74</v>
      </c>
      <c r="G734" s="1" t="s">
        <v>322</v>
      </c>
      <c r="H734" s="1" t="s">
        <v>128</v>
      </c>
      <c r="I734" s="31">
        <v>1</v>
      </c>
      <c r="J734" s="32">
        <v>61.19</v>
      </c>
      <c r="K734" s="32">
        <v>61.19</v>
      </c>
      <c r="L734" s="32">
        <v>45.7</v>
      </c>
      <c r="M734" s="32">
        <v>15.49</v>
      </c>
      <c r="N734" s="1" t="s">
        <v>117</v>
      </c>
      <c r="O734" s="1" t="s">
        <v>118</v>
      </c>
    </row>
    <row r="735" spans="1:15" ht="18.95" customHeight="1" x14ac:dyDescent="0.25">
      <c r="A735" s="1" t="s">
        <v>979</v>
      </c>
      <c r="B735" s="30">
        <v>45913.5</v>
      </c>
      <c r="C735" s="1" t="s">
        <v>420</v>
      </c>
      <c r="D735" s="1" t="s">
        <v>421</v>
      </c>
      <c r="E735" s="1" t="s">
        <v>74</v>
      </c>
      <c r="F735" s="1" t="s">
        <v>74</v>
      </c>
      <c r="G735" s="1" t="s">
        <v>213</v>
      </c>
      <c r="H735" s="1" t="s">
        <v>93</v>
      </c>
      <c r="I735" s="31">
        <v>2</v>
      </c>
      <c r="J735" s="32">
        <v>30.28</v>
      </c>
      <c r="K735" s="32">
        <v>60.56</v>
      </c>
      <c r="L735" s="32">
        <v>41.42</v>
      </c>
      <c r="M735" s="32">
        <v>19.14</v>
      </c>
      <c r="N735" s="1" t="s">
        <v>117</v>
      </c>
      <c r="O735" s="1" t="s">
        <v>118</v>
      </c>
    </row>
    <row r="736" spans="1:15" ht="18.95" customHeight="1" x14ac:dyDescent="0.25">
      <c r="A736" s="1" t="s">
        <v>980</v>
      </c>
      <c r="B736" s="30">
        <v>45914.5</v>
      </c>
      <c r="C736" s="1" t="s">
        <v>813</v>
      </c>
      <c r="D736" s="1" t="s">
        <v>814</v>
      </c>
      <c r="E736" s="1" t="s">
        <v>74</v>
      </c>
      <c r="F736" s="1" t="s">
        <v>74</v>
      </c>
      <c r="G736" s="1" t="s">
        <v>98</v>
      </c>
      <c r="H736" s="1" t="s">
        <v>99</v>
      </c>
      <c r="I736" s="31">
        <v>1</v>
      </c>
      <c r="J736" s="32">
        <v>30.59</v>
      </c>
      <c r="K736" s="32">
        <v>30.59</v>
      </c>
      <c r="L736" s="32">
        <v>16.899999999999999</v>
      </c>
      <c r="M736" s="32">
        <v>13.69</v>
      </c>
      <c r="N736" s="1" t="s">
        <v>86</v>
      </c>
      <c r="O736" s="1" t="s">
        <v>233</v>
      </c>
    </row>
    <row r="737" spans="1:15" ht="18.95" customHeight="1" x14ac:dyDescent="0.25">
      <c r="A737" s="1" t="s">
        <v>980</v>
      </c>
      <c r="B737" s="30">
        <v>45914.5</v>
      </c>
      <c r="C737" s="1" t="s">
        <v>813</v>
      </c>
      <c r="D737" s="1" t="s">
        <v>814</v>
      </c>
      <c r="E737" s="1" t="s">
        <v>74</v>
      </c>
      <c r="F737" s="1" t="s">
        <v>74</v>
      </c>
      <c r="G737" s="1" t="s">
        <v>116</v>
      </c>
      <c r="H737" s="1" t="s">
        <v>76</v>
      </c>
      <c r="I737" s="31">
        <v>3</v>
      </c>
      <c r="J737" s="32">
        <v>15.29</v>
      </c>
      <c r="K737" s="32">
        <v>45.87</v>
      </c>
      <c r="L737" s="32">
        <v>21.24</v>
      </c>
      <c r="M737" s="32">
        <v>24.63</v>
      </c>
      <c r="N737" s="1" t="s">
        <v>86</v>
      </c>
      <c r="O737" s="1" t="s">
        <v>233</v>
      </c>
    </row>
    <row r="738" spans="1:15" ht="18.95" customHeight="1" x14ac:dyDescent="0.25">
      <c r="A738" s="1" t="s">
        <v>981</v>
      </c>
      <c r="B738" s="30">
        <v>45914.5</v>
      </c>
      <c r="C738" s="1" t="s">
        <v>982</v>
      </c>
      <c r="D738" s="1" t="s">
        <v>983</v>
      </c>
      <c r="E738" s="1" t="s">
        <v>136</v>
      </c>
      <c r="F738" s="1" t="s">
        <v>137</v>
      </c>
      <c r="G738" s="1" t="s">
        <v>151</v>
      </c>
      <c r="H738" s="1" t="s">
        <v>76</v>
      </c>
      <c r="I738" s="31">
        <v>2</v>
      </c>
      <c r="J738" s="32">
        <v>18.399999999999999</v>
      </c>
      <c r="K738" s="32">
        <v>36.799999999999997</v>
      </c>
      <c r="L738" s="32">
        <v>19.52</v>
      </c>
      <c r="M738" s="32">
        <v>17.28</v>
      </c>
      <c r="N738" s="1" t="s">
        <v>315</v>
      </c>
      <c r="O738" s="1" t="s">
        <v>112</v>
      </c>
    </row>
    <row r="739" spans="1:15" ht="18.95" customHeight="1" x14ac:dyDescent="0.25">
      <c r="A739" s="1" t="s">
        <v>981</v>
      </c>
      <c r="B739" s="30">
        <v>45914.5</v>
      </c>
      <c r="C739" s="1" t="s">
        <v>982</v>
      </c>
      <c r="D739" s="1" t="s">
        <v>983</v>
      </c>
      <c r="E739" s="1" t="s">
        <v>136</v>
      </c>
      <c r="F739" s="1" t="s">
        <v>137</v>
      </c>
      <c r="G739" s="1" t="s">
        <v>157</v>
      </c>
      <c r="H739" s="1" t="s">
        <v>93</v>
      </c>
      <c r="I739" s="31">
        <v>1</v>
      </c>
      <c r="J739" s="32">
        <v>19.37</v>
      </c>
      <c r="K739" s="32">
        <v>19.37</v>
      </c>
      <c r="L739" s="32">
        <v>10.48</v>
      </c>
      <c r="M739" s="32">
        <v>8.89</v>
      </c>
      <c r="N739" s="1" t="s">
        <v>315</v>
      </c>
      <c r="O739" s="1" t="s">
        <v>112</v>
      </c>
    </row>
    <row r="740" spans="1:15" ht="18.95" customHeight="1" x14ac:dyDescent="0.25">
      <c r="A740" s="1" t="s">
        <v>984</v>
      </c>
      <c r="B740" s="30">
        <v>45915.5</v>
      </c>
      <c r="C740" s="1" t="s">
        <v>500</v>
      </c>
      <c r="D740" s="1" t="s">
        <v>501</v>
      </c>
      <c r="E740" s="1" t="s">
        <v>183</v>
      </c>
      <c r="F740" s="1" t="s">
        <v>137</v>
      </c>
      <c r="G740" s="1" t="s">
        <v>127</v>
      </c>
      <c r="H740" s="1" t="s">
        <v>128</v>
      </c>
      <c r="I740" s="31">
        <v>1</v>
      </c>
      <c r="J740" s="32">
        <v>24.22</v>
      </c>
      <c r="K740" s="32">
        <v>24.22</v>
      </c>
      <c r="L740" s="32">
        <v>15.28</v>
      </c>
      <c r="M740" s="32">
        <v>8.94</v>
      </c>
      <c r="N740" s="1" t="s">
        <v>77</v>
      </c>
      <c r="O740" s="1" t="s">
        <v>78</v>
      </c>
    </row>
    <row r="741" spans="1:15" ht="18.95" customHeight="1" x14ac:dyDescent="0.25">
      <c r="A741" s="1" t="s">
        <v>985</v>
      </c>
      <c r="B741" s="30">
        <v>45916.5</v>
      </c>
      <c r="C741" s="1" t="s">
        <v>145</v>
      </c>
      <c r="D741" s="1" t="s">
        <v>146</v>
      </c>
      <c r="E741" s="1" t="s">
        <v>74</v>
      </c>
      <c r="F741" s="1" t="s">
        <v>74</v>
      </c>
      <c r="G741" s="1" t="s">
        <v>110</v>
      </c>
      <c r="H741" s="1" t="s">
        <v>85</v>
      </c>
      <c r="I741" s="31">
        <v>1</v>
      </c>
      <c r="J741" s="32">
        <v>13.25</v>
      </c>
      <c r="K741" s="32">
        <v>13.25</v>
      </c>
      <c r="L741" s="32">
        <v>7.13</v>
      </c>
      <c r="M741" s="32">
        <v>6.12</v>
      </c>
      <c r="N741" s="1" t="s">
        <v>77</v>
      </c>
      <c r="O741" s="1" t="s">
        <v>118</v>
      </c>
    </row>
    <row r="742" spans="1:15" ht="18.95" customHeight="1" x14ac:dyDescent="0.25">
      <c r="A742" s="1" t="s">
        <v>986</v>
      </c>
      <c r="B742" s="30">
        <v>45917.5</v>
      </c>
      <c r="C742" s="1" t="s">
        <v>186</v>
      </c>
      <c r="D742" s="1" t="s">
        <v>187</v>
      </c>
      <c r="E742" s="1" t="s">
        <v>169</v>
      </c>
      <c r="F742" s="1" t="s">
        <v>170</v>
      </c>
      <c r="G742" s="1" t="s">
        <v>151</v>
      </c>
      <c r="H742" s="1" t="s">
        <v>76</v>
      </c>
      <c r="I742" s="31">
        <v>3</v>
      </c>
      <c r="J742" s="32">
        <v>19.37</v>
      </c>
      <c r="K742" s="32">
        <v>58.11</v>
      </c>
      <c r="L742" s="32">
        <v>28.06</v>
      </c>
      <c r="M742" s="32">
        <v>30.05</v>
      </c>
      <c r="N742" s="1" t="s">
        <v>117</v>
      </c>
      <c r="O742" s="1" t="s">
        <v>78</v>
      </c>
    </row>
    <row r="743" spans="1:15" ht="18.95" customHeight="1" x14ac:dyDescent="0.25">
      <c r="A743" s="1" t="s">
        <v>986</v>
      </c>
      <c r="B743" s="30">
        <v>45917.5</v>
      </c>
      <c r="C743" s="1" t="s">
        <v>186</v>
      </c>
      <c r="D743" s="1" t="s">
        <v>187</v>
      </c>
      <c r="E743" s="1" t="s">
        <v>169</v>
      </c>
      <c r="F743" s="1" t="s">
        <v>170</v>
      </c>
      <c r="G743" s="1" t="s">
        <v>116</v>
      </c>
      <c r="H743" s="1" t="s">
        <v>76</v>
      </c>
      <c r="I743" s="31">
        <v>3</v>
      </c>
      <c r="J743" s="32">
        <v>15.29</v>
      </c>
      <c r="K743" s="32">
        <v>45.87</v>
      </c>
      <c r="L743" s="32">
        <v>20.78</v>
      </c>
      <c r="M743" s="32">
        <v>25.09</v>
      </c>
      <c r="N743" s="1" t="s">
        <v>117</v>
      </c>
      <c r="O743" s="1" t="s">
        <v>78</v>
      </c>
    </row>
    <row r="744" spans="1:15" ht="18.95" customHeight="1" x14ac:dyDescent="0.25">
      <c r="A744" s="1" t="s">
        <v>986</v>
      </c>
      <c r="B744" s="30">
        <v>45917.5</v>
      </c>
      <c r="C744" s="1" t="s">
        <v>186</v>
      </c>
      <c r="D744" s="1" t="s">
        <v>187</v>
      </c>
      <c r="E744" s="1" t="s">
        <v>169</v>
      </c>
      <c r="F744" s="1" t="s">
        <v>170</v>
      </c>
      <c r="G744" s="1" t="s">
        <v>213</v>
      </c>
      <c r="H744" s="1" t="s">
        <v>93</v>
      </c>
      <c r="I744" s="31">
        <v>1</v>
      </c>
      <c r="J744" s="32">
        <v>31.97</v>
      </c>
      <c r="K744" s="32">
        <v>31.97</v>
      </c>
      <c r="L744" s="32">
        <v>18.84</v>
      </c>
      <c r="M744" s="32">
        <v>13.13</v>
      </c>
      <c r="N744" s="1" t="s">
        <v>117</v>
      </c>
      <c r="O744" s="1" t="s">
        <v>78</v>
      </c>
    </row>
    <row r="745" spans="1:15" ht="18.95" customHeight="1" x14ac:dyDescent="0.25">
      <c r="A745" s="1" t="s">
        <v>987</v>
      </c>
      <c r="B745" s="30">
        <v>45917.5</v>
      </c>
      <c r="C745" s="1" t="s">
        <v>338</v>
      </c>
      <c r="D745" s="1" t="s">
        <v>339</v>
      </c>
      <c r="E745" s="1" t="s">
        <v>243</v>
      </c>
      <c r="F745" s="1" t="s">
        <v>165</v>
      </c>
      <c r="G745" s="1" t="s">
        <v>213</v>
      </c>
      <c r="H745" s="1" t="s">
        <v>93</v>
      </c>
      <c r="I745" s="31">
        <v>1</v>
      </c>
      <c r="J745" s="32">
        <v>33.65</v>
      </c>
      <c r="K745" s="32">
        <v>33.65</v>
      </c>
      <c r="L745" s="32">
        <v>18.93</v>
      </c>
      <c r="M745" s="32">
        <v>14.72</v>
      </c>
      <c r="N745" s="1" t="s">
        <v>117</v>
      </c>
      <c r="O745" s="1" t="s">
        <v>78</v>
      </c>
    </row>
    <row r="746" spans="1:15" ht="18.95" customHeight="1" x14ac:dyDescent="0.25">
      <c r="A746" s="1" t="s">
        <v>988</v>
      </c>
      <c r="B746" s="30">
        <v>45919.5</v>
      </c>
      <c r="C746" s="1" t="s">
        <v>407</v>
      </c>
      <c r="D746" s="1" t="s">
        <v>408</v>
      </c>
      <c r="E746" s="1" t="s">
        <v>97</v>
      </c>
      <c r="F746" s="1" t="s">
        <v>91</v>
      </c>
      <c r="G746" s="1" t="s">
        <v>139</v>
      </c>
      <c r="H746" s="1" t="s">
        <v>128</v>
      </c>
      <c r="I746" s="31">
        <v>1</v>
      </c>
      <c r="J746" s="32">
        <v>71.39</v>
      </c>
      <c r="K746" s="32">
        <v>71.39</v>
      </c>
      <c r="L746" s="32">
        <v>47.26</v>
      </c>
      <c r="M746" s="32">
        <v>24.13</v>
      </c>
      <c r="N746" s="1" t="s">
        <v>77</v>
      </c>
      <c r="O746" s="1" t="s">
        <v>78</v>
      </c>
    </row>
    <row r="747" spans="1:15" ht="18.95" customHeight="1" x14ac:dyDescent="0.25">
      <c r="A747" s="1" t="s">
        <v>989</v>
      </c>
      <c r="B747" s="30">
        <v>45919.5</v>
      </c>
      <c r="C747" s="1" t="s">
        <v>809</v>
      </c>
      <c r="D747" s="1" t="s">
        <v>810</v>
      </c>
      <c r="E747" s="1" t="s">
        <v>90</v>
      </c>
      <c r="F747" s="1" t="s">
        <v>91</v>
      </c>
      <c r="G747" s="1" t="s">
        <v>306</v>
      </c>
      <c r="H747" s="1" t="s">
        <v>76</v>
      </c>
      <c r="I747" s="31">
        <v>2</v>
      </c>
      <c r="J747" s="32">
        <v>25.49</v>
      </c>
      <c r="K747" s="32">
        <v>50.98</v>
      </c>
      <c r="L747" s="32">
        <v>26.14</v>
      </c>
      <c r="M747" s="32">
        <v>24.84</v>
      </c>
      <c r="N747" s="1" t="s">
        <v>86</v>
      </c>
      <c r="O747" s="1" t="s">
        <v>78</v>
      </c>
    </row>
    <row r="748" spans="1:15" ht="18.95" customHeight="1" x14ac:dyDescent="0.25">
      <c r="A748" s="1" t="s">
        <v>990</v>
      </c>
      <c r="B748" s="30">
        <v>45921.5</v>
      </c>
      <c r="C748" s="1" t="s">
        <v>344</v>
      </c>
      <c r="D748" s="1" t="s">
        <v>345</v>
      </c>
      <c r="E748" s="1" t="s">
        <v>74</v>
      </c>
      <c r="F748" s="1" t="s">
        <v>74</v>
      </c>
      <c r="G748" s="1" t="s">
        <v>127</v>
      </c>
      <c r="H748" s="1" t="s">
        <v>128</v>
      </c>
      <c r="I748" s="31">
        <v>1</v>
      </c>
      <c r="J748" s="32">
        <v>25.49</v>
      </c>
      <c r="K748" s="32">
        <v>25.49</v>
      </c>
      <c r="L748" s="32">
        <v>15.35</v>
      </c>
      <c r="M748" s="32">
        <v>10.14</v>
      </c>
      <c r="N748" s="1" t="s">
        <v>117</v>
      </c>
      <c r="O748" s="1" t="s">
        <v>78</v>
      </c>
    </row>
    <row r="749" spans="1:15" ht="18.95" customHeight="1" x14ac:dyDescent="0.25">
      <c r="A749" s="1" t="s">
        <v>990</v>
      </c>
      <c r="B749" s="30">
        <v>45921.5</v>
      </c>
      <c r="C749" s="1" t="s">
        <v>344</v>
      </c>
      <c r="D749" s="1" t="s">
        <v>345</v>
      </c>
      <c r="E749" s="1" t="s">
        <v>74</v>
      </c>
      <c r="F749" s="1" t="s">
        <v>74</v>
      </c>
      <c r="G749" s="1" t="s">
        <v>75</v>
      </c>
      <c r="H749" s="1" t="s">
        <v>76</v>
      </c>
      <c r="I749" s="31">
        <v>2</v>
      </c>
      <c r="J749" s="32">
        <v>27.53</v>
      </c>
      <c r="K749" s="32">
        <v>55.06</v>
      </c>
      <c r="L749" s="32">
        <v>29.33</v>
      </c>
      <c r="M749" s="32">
        <v>25.73</v>
      </c>
      <c r="N749" s="1" t="s">
        <v>117</v>
      </c>
      <c r="O749" s="1" t="s">
        <v>78</v>
      </c>
    </row>
    <row r="750" spans="1:15" ht="18.95" customHeight="1" x14ac:dyDescent="0.25">
      <c r="A750" s="1" t="s">
        <v>991</v>
      </c>
      <c r="B750" s="30">
        <v>45924.5</v>
      </c>
      <c r="C750" s="1" t="s">
        <v>860</v>
      </c>
      <c r="D750" s="1" t="s">
        <v>861</v>
      </c>
      <c r="E750" s="1" t="s">
        <v>237</v>
      </c>
      <c r="F750" s="1" t="s">
        <v>238</v>
      </c>
      <c r="G750" s="1" t="s">
        <v>213</v>
      </c>
      <c r="H750" s="1" t="s">
        <v>93</v>
      </c>
      <c r="I750" s="31">
        <v>1</v>
      </c>
      <c r="J750" s="32">
        <v>31.97</v>
      </c>
      <c r="K750" s="32">
        <v>31.97</v>
      </c>
      <c r="L750" s="32">
        <v>19.16</v>
      </c>
      <c r="M750" s="32">
        <v>12.81</v>
      </c>
      <c r="N750" s="1" t="s">
        <v>86</v>
      </c>
      <c r="O750" s="1" t="s">
        <v>233</v>
      </c>
    </row>
    <row r="751" spans="1:15" ht="18.95" customHeight="1" x14ac:dyDescent="0.25">
      <c r="A751" s="1" t="s">
        <v>992</v>
      </c>
      <c r="B751" s="30">
        <v>45925.5</v>
      </c>
      <c r="C751" s="1" t="s">
        <v>245</v>
      </c>
      <c r="D751" s="1" t="s">
        <v>246</v>
      </c>
      <c r="E751" s="1" t="s">
        <v>104</v>
      </c>
      <c r="F751" s="1" t="s">
        <v>105</v>
      </c>
      <c r="G751" s="1" t="s">
        <v>143</v>
      </c>
      <c r="H751" s="1" t="s">
        <v>128</v>
      </c>
      <c r="I751" s="31">
        <v>1</v>
      </c>
      <c r="J751" s="32">
        <v>96.89</v>
      </c>
      <c r="K751" s="32">
        <v>96.89</v>
      </c>
      <c r="L751" s="32">
        <v>74.75</v>
      </c>
      <c r="M751" s="32">
        <v>22.14</v>
      </c>
      <c r="N751" s="1" t="s">
        <v>111</v>
      </c>
      <c r="O751" s="1" t="s">
        <v>78</v>
      </c>
    </row>
    <row r="752" spans="1:15" ht="18.95" customHeight="1" x14ac:dyDescent="0.25">
      <c r="A752" s="1" t="s">
        <v>993</v>
      </c>
      <c r="B752" s="30">
        <v>45925.5</v>
      </c>
      <c r="C752" s="1" t="s">
        <v>417</v>
      </c>
      <c r="D752" s="1" t="s">
        <v>418</v>
      </c>
      <c r="E752" s="1" t="s">
        <v>82</v>
      </c>
      <c r="F752" s="1" t="s">
        <v>83</v>
      </c>
      <c r="G752" s="1" t="s">
        <v>230</v>
      </c>
      <c r="H752" s="1" t="s">
        <v>128</v>
      </c>
      <c r="I752" s="31">
        <v>3</v>
      </c>
      <c r="J752" s="32">
        <v>45.89</v>
      </c>
      <c r="K752" s="32">
        <v>137.66999999999999</v>
      </c>
      <c r="L752" s="32">
        <v>88.41</v>
      </c>
      <c r="M752" s="32">
        <v>49.26</v>
      </c>
      <c r="N752" s="1" t="s">
        <v>117</v>
      </c>
      <c r="O752" s="1" t="s">
        <v>233</v>
      </c>
    </row>
    <row r="753" spans="1:15" ht="18.95" customHeight="1" x14ac:dyDescent="0.25">
      <c r="A753" s="1" t="s">
        <v>993</v>
      </c>
      <c r="B753" s="30">
        <v>45925.5</v>
      </c>
      <c r="C753" s="1" t="s">
        <v>417</v>
      </c>
      <c r="D753" s="1" t="s">
        <v>418</v>
      </c>
      <c r="E753" s="1" t="s">
        <v>82</v>
      </c>
      <c r="F753" s="1" t="s">
        <v>83</v>
      </c>
      <c r="G753" s="1" t="s">
        <v>179</v>
      </c>
      <c r="H753" s="1" t="s">
        <v>128</v>
      </c>
      <c r="I753" s="31">
        <v>1</v>
      </c>
      <c r="J753" s="32">
        <v>40.79</v>
      </c>
      <c r="K753" s="32">
        <v>40.79</v>
      </c>
      <c r="L753" s="32">
        <v>23.76</v>
      </c>
      <c r="M753" s="32">
        <v>17.03</v>
      </c>
      <c r="N753" s="1" t="s">
        <v>117</v>
      </c>
      <c r="O753" s="1" t="s">
        <v>233</v>
      </c>
    </row>
    <row r="754" spans="1:15" ht="18.95" customHeight="1" x14ac:dyDescent="0.25">
      <c r="A754" s="1" t="s">
        <v>994</v>
      </c>
      <c r="B754" s="30">
        <v>45926.5</v>
      </c>
      <c r="C754" s="1" t="s">
        <v>347</v>
      </c>
      <c r="D754" s="1" t="s">
        <v>348</v>
      </c>
      <c r="E754" s="1" t="s">
        <v>330</v>
      </c>
      <c r="F754" s="1" t="s">
        <v>238</v>
      </c>
      <c r="G754" s="1" t="s">
        <v>75</v>
      </c>
      <c r="H754" s="1" t="s">
        <v>76</v>
      </c>
      <c r="I754" s="31">
        <v>1</v>
      </c>
      <c r="J754" s="32">
        <v>27.53</v>
      </c>
      <c r="K754" s="32">
        <v>27.53</v>
      </c>
      <c r="L754" s="32">
        <v>15.35</v>
      </c>
      <c r="M754" s="32">
        <v>12.18</v>
      </c>
      <c r="N754" s="1" t="s">
        <v>86</v>
      </c>
      <c r="O754" s="1" t="s">
        <v>112</v>
      </c>
    </row>
    <row r="755" spans="1:15" ht="18.95" customHeight="1" x14ac:dyDescent="0.25">
      <c r="A755" s="1" t="s">
        <v>995</v>
      </c>
      <c r="B755" s="30">
        <v>45926.5</v>
      </c>
      <c r="C755" s="1" t="s">
        <v>852</v>
      </c>
      <c r="D755" s="1" t="s">
        <v>853</v>
      </c>
      <c r="E755" s="1" t="s">
        <v>97</v>
      </c>
      <c r="F755" s="1" t="s">
        <v>91</v>
      </c>
      <c r="G755" s="1" t="s">
        <v>155</v>
      </c>
      <c r="H755" s="1" t="s">
        <v>93</v>
      </c>
      <c r="I755" s="31">
        <v>3</v>
      </c>
      <c r="J755" s="32">
        <v>28.55</v>
      </c>
      <c r="K755" s="32">
        <v>85.65</v>
      </c>
      <c r="L755" s="32">
        <v>48.63</v>
      </c>
      <c r="M755" s="32">
        <v>37.020000000000003</v>
      </c>
      <c r="N755" s="1" t="s">
        <v>77</v>
      </c>
      <c r="O755" s="1" t="s">
        <v>118</v>
      </c>
    </row>
    <row r="756" spans="1:15" ht="18.95" customHeight="1" x14ac:dyDescent="0.25">
      <c r="A756" s="1" t="s">
        <v>996</v>
      </c>
      <c r="B756" s="30">
        <v>45926.5</v>
      </c>
      <c r="C756" s="1" t="s">
        <v>694</v>
      </c>
      <c r="D756" s="1" t="s">
        <v>695</v>
      </c>
      <c r="E756" s="1" t="s">
        <v>150</v>
      </c>
      <c r="F756" s="1" t="s">
        <v>105</v>
      </c>
      <c r="G756" s="1" t="s">
        <v>127</v>
      </c>
      <c r="H756" s="1" t="s">
        <v>128</v>
      </c>
      <c r="I756" s="31">
        <v>1</v>
      </c>
      <c r="J756" s="32">
        <v>25.49</v>
      </c>
      <c r="K756" s="32">
        <v>25.49</v>
      </c>
      <c r="L756" s="32">
        <v>15.35</v>
      </c>
      <c r="M756" s="32">
        <v>10.14</v>
      </c>
      <c r="N756" s="1" t="s">
        <v>86</v>
      </c>
      <c r="O756" s="1" t="s">
        <v>78</v>
      </c>
    </row>
    <row r="757" spans="1:15" ht="18.95" customHeight="1" x14ac:dyDescent="0.25">
      <c r="A757" s="1" t="s">
        <v>997</v>
      </c>
      <c r="B757" s="30">
        <v>45926.5</v>
      </c>
      <c r="C757" s="1" t="s">
        <v>998</v>
      </c>
      <c r="D757" s="1" t="s">
        <v>999</v>
      </c>
      <c r="E757" s="1" t="s">
        <v>243</v>
      </c>
      <c r="F757" s="1" t="s">
        <v>165</v>
      </c>
      <c r="G757" s="1" t="s">
        <v>184</v>
      </c>
      <c r="H757" s="1" t="s">
        <v>99</v>
      </c>
      <c r="I757" s="31">
        <v>1</v>
      </c>
      <c r="J757" s="32">
        <v>164.72</v>
      </c>
      <c r="K757" s="32">
        <v>164.72</v>
      </c>
      <c r="L757" s="32">
        <v>142.58000000000001</v>
      </c>
      <c r="M757" s="32">
        <v>22.14</v>
      </c>
      <c r="N757" s="1" t="s">
        <v>86</v>
      </c>
      <c r="O757" s="1" t="s">
        <v>112</v>
      </c>
    </row>
    <row r="758" spans="1:15" ht="18.95" customHeight="1" x14ac:dyDescent="0.25">
      <c r="A758" s="1" t="s">
        <v>1000</v>
      </c>
      <c r="B758" s="30">
        <v>45927.5</v>
      </c>
      <c r="C758" s="1" t="s">
        <v>95</v>
      </c>
      <c r="D758" s="1" t="s">
        <v>96</v>
      </c>
      <c r="E758" s="1" t="s">
        <v>97</v>
      </c>
      <c r="F758" s="1" t="s">
        <v>91</v>
      </c>
      <c r="G758" s="1" t="s">
        <v>151</v>
      </c>
      <c r="H758" s="1" t="s">
        <v>76</v>
      </c>
      <c r="I758" s="31">
        <v>2</v>
      </c>
      <c r="J758" s="32">
        <v>19.37</v>
      </c>
      <c r="K758" s="32">
        <v>38.74</v>
      </c>
      <c r="L758" s="32">
        <v>18.71</v>
      </c>
      <c r="M758" s="32">
        <v>20.03</v>
      </c>
      <c r="N758" s="1" t="s">
        <v>117</v>
      </c>
      <c r="O758" s="1" t="s">
        <v>78</v>
      </c>
    </row>
    <row r="759" spans="1:15" ht="18.95" customHeight="1" x14ac:dyDescent="0.25">
      <c r="A759" s="1" t="s">
        <v>1000</v>
      </c>
      <c r="B759" s="30">
        <v>45927.5</v>
      </c>
      <c r="C759" s="1" t="s">
        <v>95</v>
      </c>
      <c r="D759" s="1" t="s">
        <v>96</v>
      </c>
      <c r="E759" s="1" t="s">
        <v>97</v>
      </c>
      <c r="F759" s="1" t="s">
        <v>91</v>
      </c>
      <c r="G759" s="1" t="s">
        <v>306</v>
      </c>
      <c r="H759" s="1" t="s">
        <v>76</v>
      </c>
      <c r="I759" s="31">
        <v>2</v>
      </c>
      <c r="J759" s="32">
        <v>25.49</v>
      </c>
      <c r="K759" s="32">
        <v>50.98</v>
      </c>
      <c r="L759" s="32">
        <v>26.14</v>
      </c>
      <c r="M759" s="32">
        <v>24.84</v>
      </c>
      <c r="N759" s="1" t="s">
        <v>117</v>
      </c>
      <c r="O759" s="1" t="s">
        <v>78</v>
      </c>
    </row>
    <row r="760" spans="1:15" ht="18.95" customHeight="1" x14ac:dyDescent="0.25">
      <c r="A760" s="1" t="s">
        <v>1001</v>
      </c>
      <c r="B760" s="30">
        <v>45927.5</v>
      </c>
      <c r="C760" s="1" t="s">
        <v>72</v>
      </c>
      <c r="D760" s="1" t="s">
        <v>73</v>
      </c>
      <c r="E760" s="1" t="s">
        <v>74</v>
      </c>
      <c r="F760" s="1" t="s">
        <v>74</v>
      </c>
      <c r="G760" s="1" t="s">
        <v>189</v>
      </c>
      <c r="H760" s="1" t="s">
        <v>93</v>
      </c>
      <c r="I760" s="31">
        <v>1</v>
      </c>
      <c r="J760" s="32">
        <v>45.89</v>
      </c>
      <c r="K760" s="32">
        <v>45.89</v>
      </c>
      <c r="L760" s="32">
        <v>30.17</v>
      </c>
      <c r="M760" s="32">
        <v>15.72</v>
      </c>
      <c r="N760" s="1" t="s">
        <v>117</v>
      </c>
      <c r="O760" s="1" t="s">
        <v>118</v>
      </c>
    </row>
    <row r="761" spans="1:15" ht="18.95" customHeight="1" x14ac:dyDescent="0.25">
      <c r="A761" s="1" t="s">
        <v>1002</v>
      </c>
      <c r="B761" s="30">
        <v>45928.5</v>
      </c>
      <c r="C761" s="1" t="s">
        <v>356</v>
      </c>
      <c r="D761" s="1" t="s">
        <v>357</v>
      </c>
      <c r="E761" s="1" t="s">
        <v>237</v>
      </c>
      <c r="F761" s="1" t="s">
        <v>238</v>
      </c>
      <c r="G761" s="1" t="s">
        <v>127</v>
      </c>
      <c r="H761" s="1" t="s">
        <v>128</v>
      </c>
      <c r="I761" s="31">
        <v>1</v>
      </c>
      <c r="J761" s="32">
        <v>25.49</v>
      </c>
      <c r="K761" s="32">
        <v>25.49</v>
      </c>
      <c r="L761" s="32">
        <v>15.99</v>
      </c>
      <c r="M761" s="32">
        <v>9.5</v>
      </c>
      <c r="N761" s="1" t="s">
        <v>111</v>
      </c>
      <c r="O761" s="1" t="s">
        <v>112</v>
      </c>
    </row>
    <row r="762" spans="1:15" ht="18.95" customHeight="1" x14ac:dyDescent="0.25">
      <c r="A762" s="1" t="s">
        <v>1003</v>
      </c>
      <c r="B762" s="30">
        <v>45929.5</v>
      </c>
      <c r="C762" s="1" t="s">
        <v>759</v>
      </c>
      <c r="D762" s="1" t="s">
        <v>760</v>
      </c>
      <c r="E762" s="1" t="s">
        <v>74</v>
      </c>
      <c r="F762" s="1" t="s">
        <v>74</v>
      </c>
      <c r="G762" s="1" t="s">
        <v>155</v>
      </c>
      <c r="H762" s="1" t="s">
        <v>93</v>
      </c>
      <c r="I762" s="31">
        <v>2</v>
      </c>
      <c r="J762" s="32">
        <v>28.55</v>
      </c>
      <c r="K762" s="32">
        <v>57.1</v>
      </c>
      <c r="L762" s="32">
        <v>28.71</v>
      </c>
      <c r="M762" s="32">
        <v>28.39</v>
      </c>
      <c r="N762" s="1" t="s">
        <v>86</v>
      </c>
      <c r="O762" s="1" t="s">
        <v>78</v>
      </c>
    </row>
    <row r="763" spans="1:15" ht="18.95" customHeight="1" x14ac:dyDescent="0.25">
      <c r="A763" s="1" t="s">
        <v>1004</v>
      </c>
      <c r="B763" s="30">
        <v>45931.5</v>
      </c>
      <c r="C763" s="1" t="s">
        <v>574</v>
      </c>
      <c r="D763" s="1" t="s">
        <v>575</v>
      </c>
      <c r="E763" s="1" t="s">
        <v>104</v>
      </c>
      <c r="F763" s="1" t="s">
        <v>105</v>
      </c>
      <c r="G763" s="1" t="s">
        <v>207</v>
      </c>
      <c r="H763" s="1" t="s">
        <v>85</v>
      </c>
      <c r="I763" s="31">
        <v>1</v>
      </c>
      <c r="J763" s="32">
        <v>110.15</v>
      </c>
      <c r="K763" s="32">
        <v>110.15</v>
      </c>
      <c r="L763" s="32">
        <v>90.09</v>
      </c>
      <c r="M763" s="32">
        <v>20.059999999999999</v>
      </c>
      <c r="N763" s="1" t="s">
        <v>117</v>
      </c>
      <c r="O763" s="1" t="s">
        <v>78</v>
      </c>
    </row>
    <row r="764" spans="1:15" ht="18.95" customHeight="1" x14ac:dyDescent="0.25">
      <c r="A764" s="1" t="s">
        <v>1005</v>
      </c>
      <c r="B764" s="30">
        <v>45932.5</v>
      </c>
      <c r="C764" s="1" t="s">
        <v>574</v>
      </c>
      <c r="D764" s="1" t="s">
        <v>575</v>
      </c>
      <c r="E764" s="1" t="s">
        <v>104</v>
      </c>
      <c r="F764" s="1" t="s">
        <v>105</v>
      </c>
      <c r="G764" s="1" t="s">
        <v>75</v>
      </c>
      <c r="H764" s="1" t="s">
        <v>76</v>
      </c>
      <c r="I764" s="31">
        <v>4</v>
      </c>
      <c r="J764" s="32">
        <v>24.78</v>
      </c>
      <c r="K764" s="32">
        <v>99.12</v>
      </c>
      <c r="L764" s="32">
        <v>59.04</v>
      </c>
      <c r="M764" s="32">
        <v>40.08</v>
      </c>
      <c r="N764" s="1" t="s">
        <v>117</v>
      </c>
      <c r="O764" s="1" t="s">
        <v>233</v>
      </c>
    </row>
    <row r="765" spans="1:15" ht="18.95" customHeight="1" x14ac:dyDescent="0.25">
      <c r="A765" s="1" t="s">
        <v>1006</v>
      </c>
      <c r="B765" s="30">
        <v>45935.5</v>
      </c>
      <c r="C765" s="1" t="s">
        <v>438</v>
      </c>
      <c r="D765" s="1" t="s">
        <v>439</v>
      </c>
      <c r="E765" s="1" t="s">
        <v>169</v>
      </c>
      <c r="F765" s="1" t="s">
        <v>170</v>
      </c>
      <c r="G765" s="1" t="s">
        <v>188</v>
      </c>
      <c r="H765" s="1" t="s">
        <v>76</v>
      </c>
      <c r="I765" s="31">
        <v>1</v>
      </c>
      <c r="J765" s="32">
        <v>86.69</v>
      </c>
      <c r="K765" s="32">
        <v>86.69</v>
      </c>
      <c r="L765" s="32">
        <v>63.01</v>
      </c>
      <c r="M765" s="32">
        <v>23.68</v>
      </c>
      <c r="N765" s="1" t="s">
        <v>315</v>
      </c>
      <c r="O765" s="1" t="s">
        <v>112</v>
      </c>
    </row>
    <row r="766" spans="1:15" ht="18.95" customHeight="1" x14ac:dyDescent="0.25">
      <c r="A766" s="1" t="s">
        <v>1006</v>
      </c>
      <c r="B766" s="30">
        <v>45935.5</v>
      </c>
      <c r="C766" s="1" t="s">
        <v>438</v>
      </c>
      <c r="D766" s="1" t="s">
        <v>439</v>
      </c>
      <c r="E766" s="1" t="s">
        <v>169</v>
      </c>
      <c r="F766" s="1" t="s">
        <v>170</v>
      </c>
      <c r="G766" s="1" t="s">
        <v>157</v>
      </c>
      <c r="H766" s="1" t="s">
        <v>93</v>
      </c>
      <c r="I766" s="31">
        <v>2</v>
      </c>
      <c r="J766" s="32">
        <v>20.39</v>
      </c>
      <c r="K766" s="32">
        <v>40.78</v>
      </c>
      <c r="L766" s="32">
        <v>21.12</v>
      </c>
      <c r="M766" s="32">
        <v>19.66</v>
      </c>
      <c r="N766" s="1" t="s">
        <v>315</v>
      </c>
      <c r="O766" s="1" t="s">
        <v>112</v>
      </c>
    </row>
    <row r="767" spans="1:15" ht="18.95" customHeight="1" x14ac:dyDescent="0.25">
      <c r="A767" s="1" t="s">
        <v>1007</v>
      </c>
      <c r="B767" s="30">
        <v>45935.5</v>
      </c>
      <c r="C767" s="1" t="s">
        <v>197</v>
      </c>
      <c r="D767" s="1" t="s">
        <v>198</v>
      </c>
      <c r="E767" s="1" t="s">
        <v>136</v>
      </c>
      <c r="F767" s="1" t="s">
        <v>137</v>
      </c>
      <c r="G767" s="1" t="s">
        <v>188</v>
      </c>
      <c r="H767" s="1" t="s">
        <v>76</v>
      </c>
      <c r="I767" s="31">
        <v>1</v>
      </c>
      <c r="J767" s="32">
        <v>86.69</v>
      </c>
      <c r="K767" s="32">
        <v>86.69</v>
      </c>
      <c r="L767" s="32">
        <v>61.71</v>
      </c>
      <c r="M767" s="32">
        <v>24.98</v>
      </c>
      <c r="N767" s="1" t="s">
        <v>117</v>
      </c>
      <c r="O767" s="1" t="s">
        <v>233</v>
      </c>
    </row>
    <row r="768" spans="1:15" ht="18.95" customHeight="1" x14ac:dyDescent="0.25">
      <c r="A768" s="1" t="s">
        <v>1008</v>
      </c>
      <c r="B768" s="30">
        <v>45936.5</v>
      </c>
      <c r="C768" s="1" t="s">
        <v>1009</v>
      </c>
      <c r="D768" s="1" t="s">
        <v>1010</v>
      </c>
      <c r="E768" s="1" t="s">
        <v>74</v>
      </c>
      <c r="F768" s="1" t="s">
        <v>74</v>
      </c>
      <c r="G768" s="1" t="s">
        <v>230</v>
      </c>
      <c r="H768" s="1" t="s">
        <v>128</v>
      </c>
      <c r="I768" s="31">
        <v>1</v>
      </c>
      <c r="J768" s="32">
        <v>45.89</v>
      </c>
      <c r="K768" s="32">
        <v>45.89</v>
      </c>
      <c r="L768" s="32">
        <v>29.01</v>
      </c>
      <c r="M768" s="32">
        <v>16.88</v>
      </c>
      <c r="N768" s="1" t="s">
        <v>117</v>
      </c>
      <c r="O768" s="1" t="s">
        <v>78</v>
      </c>
    </row>
    <row r="769" spans="1:15" ht="18.95" customHeight="1" x14ac:dyDescent="0.25">
      <c r="A769" s="1" t="s">
        <v>1011</v>
      </c>
      <c r="B769" s="30">
        <v>45938.5</v>
      </c>
      <c r="C769" s="1" t="s">
        <v>257</v>
      </c>
      <c r="D769" s="1" t="s">
        <v>258</v>
      </c>
      <c r="E769" s="1" t="s">
        <v>212</v>
      </c>
      <c r="F769" s="1" t="s">
        <v>83</v>
      </c>
      <c r="G769" s="1" t="s">
        <v>143</v>
      </c>
      <c r="H769" s="1" t="s">
        <v>128</v>
      </c>
      <c r="I769" s="31">
        <v>2</v>
      </c>
      <c r="J769" s="32">
        <v>96.89</v>
      </c>
      <c r="K769" s="32">
        <v>193.78</v>
      </c>
      <c r="L769" s="32">
        <v>149.5</v>
      </c>
      <c r="M769" s="32">
        <v>44.28</v>
      </c>
      <c r="N769" s="1" t="s">
        <v>86</v>
      </c>
      <c r="O769" s="1" t="s">
        <v>78</v>
      </c>
    </row>
    <row r="770" spans="1:15" ht="18.95" customHeight="1" x14ac:dyDescent="0.25">
      <c r="A770" s="1" t="s">
        <v>1011</v>
      </c>
      <c r="B770" s="30">
        <v>45938.5</v>
      </c>
      <c r="C770" s="1" t="s">
        <v>257</v>
      </c>
      <c r="D770" s="1" t="s">
        <v>258</v>
      </c>
      <c r="E770" s="1" t="s">
        <v>212</v>
      </c>
      <c r="F770" s="1" t="s">
        <v>83</v>
      </c>
      <c r="G770" s="1" t="s">
        <v>306</v>
      </c>
      <c r="H770" s="1" t="s">
        <v>76</v>
      </c>
      <c r="I770" s="31">
        <v>1</v>
      </c>
      <c r="J770" s="32">
        <v>24.22</v>
      </c>
      <c r="K770" s="32">
        <v>24.22</v>
      </c>
      <c r="L770" s="32">
        <v>13</v>
      </c>
      <c r="M770" s="32">
        <v>11.22</v>
      </c>
      <c r="N770" s="1" t="s">
        <v>86</v>
      </c>
      <c r="O770" s="1" t="s">
        <v>78</v>
      </c>
    </row>
    <row r="771" spans="1:15" ht="18.95" customHeight="1" x14ac:dyDescent="0.25">
      <c r="A771" s="1" t="s">
        <v>1012</v>
      </c>
      <c r="B771" s="30">
        <v>45939.5</v>
      </c>
      <c r="C771" s="1" t="s">
        <v>1013</v>
      </c>
      <c r="D771" s="1" t="s">
        <v>1014</v>
      </c>
      <c r="E771" s="1" t="s">
        <v>104</v>
      </c>
      <c r="F771" s="1" t="s">
        <v>105</v>
      </c>
      <c r="G771" s="1" t="s">
        <v>116</v>
      </c>
      <c r="H771" s="1" t="s">
        <v>76</v>
      </c>
      <c r="I771" s="31">
        <v>2</v>
      </c>
      <c r="J771" s="32">
        <v>15.29</v>
      </c>
      <c r="K771" s="32">
        <v>30.58</v>
      </c>
      <c r="L771" s="32">
        <v>13.85</v>
      </c>
      <c r="M771" s="32">
        <v>16.73</v>
      </c>
      <c r="N771" s="1" t="s">
        <v>86</v>
      </c>
      <c r="O771" s="1" t="s">
        <v>78</v>
      </c>
    </row>
    <row r="772" spans="1:15" ht="18.95" customHeight="1" x14ac:dyDescent="0.25">
      <c r="A772" s="1" t="s">
        <v>1015</v>
      </c>
      <c r="B772" s="30">
        <v>45940.5</v>
      </c>
      <c r="C772" s="1" t="s">
        <v>563</v>
      </c>
      <c r="D772" s="1" t="s">
        <v>564</v>
      </c>
      <c r="E772" s="1" t="s">
        <v>150</v>
      </c>
      <c r="F772" s="1" t="s">
        <v>105</v>
      </c>
      <c r="G772" s="1" t="s">
        <v>306</v>
      </c>
      <c r="H772" s="1" t="s">
        <v>76</v>
      </c>
      <c r="I772" s="31">
        <v>1</v>
      </c>
      <c r="J772" s="32">
        <v>25.49</v>
      </c>
      <c r="K772" s="32">
        <v>25.49</v>
      </c>
      <c r="L772" s="32">
        <v>14.73</v>
      </c>
      <c r="M772" s="32">
        <v>10.76</v>
      </c>
      <c r="N772" s="1" t="s">
        <v>86</v>
      </c>
      <c r="O772" s="1" t="s">
        <v>118</v>
      </c>
    </row>
    <row r="773" spans="1:15" ht="18.95" customHeight="1" x14ac:dyDescent="0.25">
      <c r="A773" s="1" t="s">
        <v>1016</v>
      </c>
      <c r="B773" s="30">
        <v>45943.5</v>
      </c>
      <c r="C773" s="1" t="s">
        <v>563</v>
      </c>
      <c r="D773" s="1" t="s">
        <v>564</v>
      </c>
      <c r="E773" s="1" t="s">
        <v>150</v>
      </c>
      <c r="F773" s="1" t="s">
        <v>105</v>
      </c>
      <c r="G773" s="1" t="s">
        <v>143</v>
      </c>
      <c r="H773" s="1" t="s">
        <v>128</v>
      </c>
      <c r="I773" s="31">
        <v>3</v>
      </c>
      <c r="J773" s="32">
        <v>96.89</v>
      </c>
      <c r="K773" s="32">
        <v>290.67</v>
      </c>
      <c r="L773" s="32">
        <v>224.24</v>
      </c>
      <c r="M773" s="32">
        <v>66.430000000000007</v>
      </c>
      <c r="N773" s="1" t="s">
        <v>111</v>
      </c>
      <c r="O773" s="1" t="s">
        <v>78</v>
      </c>
    </row>
    <row r="774" spans="1:15" ht="18.95" customHeight="1" x14ac:dyDescent="0.25">
      <c r="A774" s="1" t="s">
        <v>1017</v>
      </c>
      <c r="B774" s="30">
        <v>45943.5</v>
      </c>
      <c r="C774" s="1" t="s">
        <v>285</v>
      </c>
      <c r="D774" s="1" t="s">
        <v>286</v>
      </c>
      <c r="E774" s="1" t="s">
        <v>82</v>
      </c>
      <c r="F774" s="1" t="s">
        <v>83</v>
      </c>
      <c r="G774" s="1" t="s">
        <v>151</v>
      </c>
      <c r="H774" s="1" t="s">
        <v>76</v>
      </c>
      <c r="I774" s="31">
        <v>1</v>
      </c>
      <c r="J774" s="32">
        <v>19.37</v>
      </c>
      <c r="K774" s="32">
        <v>19.37</v>
      </c>
      <c r="L774" s="32">
        <v>9.84</v>
      </c>
      <c r="M774" s="32">
        <v>9.5299999999999994</v>
      </c>
      <c r="N774" s="1" t="s">
        <v>86</v>
      </c>
      <c r="O774" s="1" t="s">
        <v>112</v>
      </c>
    </row>
    <row r="775" spans="1:15" ht="18.95" customHeight="1" x14ac:dyDescent="0.25">
      <c r="A775" s="1" t="s">
        <v>1018</v>
      </c>
      <c r="B775" s="30">
        <v>45944.5</v>
      </c>
      <c r="C775" s="1" t="s">
        <v>328</v>
      </c>
      <c r="D775" s="1" t="s">
        <v>329</v>
      </c>
      <c r="E775" s="1" t="s">
        <v>330</v>
      </c>
      <c r="F775" s="1" t="s">
        <v>238</v>
      </c>
      <c r="G775" s="1" t="s">
        <v>106</v>
      </c>
      <c r="H775" s="1" t="s">
        <v>99</v>
      </c>
      <c r="I775" s="31">
        <v>3</v>
      </c>
      <c r="J775" s="32">
        <v>81.59</v>
      </c>
      <c r="K775" s="32">
        <v>244.77</v>
      </c>
      <c r="L775" s="32">
        <v>175.47</v>
      </c>
      <c r="M775" s="32">
        <v>69.3</v>
      </c>
      <c r="N775" s="1" t="s">
        <v>86</v>
      </c>
      <c r="O775" s="1" t="s">
        <v>112</v>
      </c>
    </row>
    <row r="776" spans="1:15" ht="18.95" customHeight="1" x14ac:dyDescent="0.25">
      <c r="A776" s="1" t="s">
        <v>1019</v>
      </c>
      <c r="B776" s="30">
        <v>45946.5</v>
      </c>
      <c r="C776" s="1" t="s">
        <v>299</v>
      </c>
      <c r="D776" s="1" t="s">
        <v>300</v>
      </c>
      <c r="E776" s="1" t="s">
        <v>174</v>
      </c>
      <c r="F776" s="1" t="s">
        <v>175</v>
      </c>
      <c r="G776" s="1" t="s">
        <v>259</v>
      </c>
      <c r="H776" s="1" t="s">
        <v>85</v>
      </c>
      <c r="I776" s="31">
        <v>1</v>
      </c>
      <c r="J776" s="32">
        <v>203.99</v>
      </c>
      <c r="K776" s="32">
        <v>203.99</v>
      </c>
      <c r="L776" s="32">
        <v>174.69</v>
      </c>
      <c r="M776" s="32">
        <v>29.3</v>
      </c>
      <c r="N776" s="1" t="s">
        <v>77</v>
      </c>
      <c r="O776" s="1" t="s">
        <v>118</v>
      </c>
    </row>
    <row r="777" spans="1:15" ht="18.95" customHeight="1" x14ac:dyDescent="0.25">
      <c r="A777" s="1" t="s">
        <v>1019</v>
      </c>
      <c r="B777" s="30">
        <v>45946.5</v>
      </c>
      <c r="C777" s="1" t="s">
        <v>299</v>
      </c>
      <c r="D777" s="1" t="s">
        <v>300</v>
      </c>
      <c r="E777" s="1" t="s">
        <v>174</v>
      </c>
      <c r="F777" s="1" t="s">
        <v>175</v>
      </c>
      <c r="G777" s="1" t="s">
        <v>84</v>
      </c>
      <c r="H777" s="1" t="s">
        <v>85</v>
      </c>
      <c r="I777" s="31">
        <v>1</v>
      </c>
      <c r="J777" s="32">
        <v>9.17</v>
      </c>
      <c r="K777" s="32">
        <v>9.17</v>
      </c>
      <c r="L777" s="32">
        <v>4.66</v>
      </c>
      <c r="M777" s="32">
        <v>4.51</v>
      </c>
      <c r="N777" s="1" t="s">
        <v>77</v>
      </c>
      <c r="O777" s="1" t="s">
        <v>118</v>
      </c>
    </row>
    <row r="778" spans="1:15" ht="18.95" customHeight="1" x14ac:dyDescent="0.25">
      <c r="A778" s="1" t="s">
        <v>1020</v>
      </c>
      <c r="B778" s="30">
        <v>45946.5</v>
      </c>
      <c r="C778" s="1" t="s">
        <v>167</v>
      </c>
      <c r="D778" s="1" t="s">
        <v>168</v>
      </c>
      <c r="E778" s="1" t="s">
        <v>169</v>
      </c>
      <c r="F778" s="1" t="s">
        <v>170</v>
      </c>
      <c r="G778" s="1" t="s">
        <v>139</v>
      </c>
      <c r="H778" s="1" t="s">
        <v>128</v>
      </c>
      <c r="I778" s="31">
        <v>3</v>
      </c>
      <c r="J778" s="32">
        <v>71.39</v>
      </c>
      <c r="K778" s="32">
        <v>214.17</v>
      </c>
      <c r="L778" s="32">
        <v>141.78</v>
      </c>
      <c r="M778" s="32">
        <v>72.39</v>
      </c>
      <c r="N778" s="1" t="s">
        <v>111</v>
      </c>
      <c r="O778" s="1" t="s">
        <v>78</v>
      </c>
    </row>
    <row r="779" spans="1:15" ht="18.95" customHeight="1" x14ac:dyDescent="0.25">
      <c r="A779" s="1" t="s">
        <v>1021</v>
      </c>
      <c r="B779" s="30">
        <v>45946.5</v>
      </c>
      <c r="C779" s="1" t="s">
        <v>915</v>
      </c>
      <c r="D779" s="1" t="s">
        <v>916</v>
      </c>
      <c r="E779" s="1" t="s">
        <v>150</v>
      </c>
      <c r="F779" s="1" t="s">
        <v>105</v>
      </c>
      <c r="G779" s="1" t="s">
        <v>293</v>
      </c>
      <c r="H779" s="1" t="s">
        <v>99</v>
      </c>
      <c r="I779" s="31">
        <v>1</v>
      </c>
      <c r="J779" s="32">
        <v>112.19</v>
      </c>
      <c r="K779" s="32">
        <v>112.19</v>
      </c>
      <c r="L779" s="32">
        <v>84.89</v>
      </c>
      <c r="M779" s="32">
        <v>27.3</v>
      </c>
      <c r="N779" s="1" t="s">
        <v>86</v>
      </c>
      <c r="O779" s="1" t="s">
        <v>112</v>
      </c>
    </row>
    <row r="780" spans="1:15" ht="18.95" customHeight="1" x14ac:dyDescent="0.25">
      <c r="A780" s="1" t="s">
        <v>1022</v>
      </c>
      <c r="B780" s="30">
        <v>45946.5</v>
      </c>
      <c r="C780" s="1" t="s">
        <v>560</v>
      </c>
      <c r="D780" s="1" t="s">
        <v>561</v>
      </c>
      <c r="E780" s="1" t="s">
        <v>74</v>
      </c>
      <c r="F780" s="1" t="s">
        <v>74</v>
      </c>
      <c r="G780" s="1" t="s">
        <v>179</v>
      </c>
      <c r="H780" s="1" t="s">
        <v>128</v>
      </c>
      <c r="I780" s="31">
        <v>2</v>
      </c>
      <c r="J780" s="32">
        <v>38.75</v>
      </c>
      <c r="K780" s="32">
        <v>77.5</v>
      </c>
      <c r="L780" s="32">
        <v>48.41</v>
      </c>
      <c r="M780" s="32">
        <v>29.09</v>
      </c>
      <c r="N780" s="1" t="s">
        <v>86</v>
      </c>
      <c r="O780" s="1" t="s">
        <v>112</v>
      </c>
    </row>
    <row r="781" spans="1:15" ht="18.95" customHeight="1" x14ac:dyDescent="0.25">
      <c r="A781" s="1" t="s">
        <v>1023</v>
      </c>
      <c r="B781" s="30">
        <v>45948.5</v>
      </c>
      <c r="C781" s="1" t="s">
        <v>505</v>
      </c>
      <c r="D781" s="1" t="s">
        <v>506</v>
      </c>
      <c r="E781" s="1" t="s">
        <v>74</v>
      </c>
      <c r="F781" s="1" t="s">
        <v>74</v>
      </c>
      <c r="G781" s="1" t="s">
        <v>213</v>
      </c>
      <c r="H781" s="1" t="s">
        <v>93</v>
      </c>
      <c r="I781" s="31">
        <v>4</v>
      </c>
      <c r="J781" s="32">
        <v>33.65</v>
      </c>
      <c r="K781" s="32">
        <v>134.6</v>
      </c>
      <c r="L781" s="32">
        <v>79.08</v>
      </c>
      <c r="M781" s="32">
        <v>55.52</v>
      </c>
      <c r="N781" s="1" t="s">
        <v>315</v>
      </c>
      <c r="O781" s="1" t="s">
        <v>112</v>
      </c>
    </row>
    <row r="782" spans="1:15" ht="18.95" customHeight="1" x14ac:dyDescent="0.25">
      <c r="A782" s="1" t="s">
        <v>1024</v>
      </c>
      <c r="B782" s="30">
        <v>45949.5</v>
      </c>
      <c r="C782" s="1" t="s">
        <v>462</v>
      </c>
      <c r="D782" s="1" t="s">
        <v>463</v>
      </c>
      <c r="E782" s="1" t="s">
        <v>125</v>
      </c>
      <c r="F782" s="1" t="s">
        <v>126</v>
      </c>
      <c r="G782" s="1" t="s">
        <v>151</v>
      </c>
      <c r="H782" s="1" t="s">
        <v>76</v>
      </c>
      <c r="I782" s="31">
        <v>5</v>
      </c>
      <c r="J782" s="32">
        <v>18.399999999999999</v>
      </c>
      <c r="K782" s="32">
        <v>92</v>
      </c>
      <c r="L782" s="32">
        <v>46.5</v>
      </c>
      <c r="M782" s="32">
        <v>45.5</v>
      </c>
      <c r="N782" s="1" t="s">
        <v>86</v>
      </c>
      <c r="O782" s="1" t="s">
        <v>78</v>
      </c>
    </row>
    <row r="783" spans="1:15" ht="18.95" customHeight="1" x14ac:dyDescent="0.25">
      <c r="A783" s="1" t="s">
        <v>1025</v>
      </c>
      <c r="B783" s="30">
        <v>45949.5</v>
      </c>
      <c r="C783" s="1" t="s">
        <v>492</v>
      </c>
      <c r="D783" s="1" t="s">
        <v>493</v>
      </c>
      <c r="E783" s="1" t="s">
        <v>212</v>
      </c>
      <c r="F783" s="1" t="s">
        <v>83</v>
      </c>
      <c r="G783" s="1" t="s">
        <v>116</v>
      </c>
      <c r="H783" s="1" t="s">
        <v>76</v>
      </c>
      <c r="I783" s="31">
        <v>2</v>
      </c>
      <c r="J783" s="32">
        <v>15.29</v>
      </c>
      <c r="K783" s="32">
        <v>30.58</v>
      </c>
      <c r="L783" s="32">
        <v>15.84</v>
      </c>
      <c r="M783" s="32">
        <v>14.74</v>
      </c>
      <c r="N783" s="1" t="s">
        <v>117</v>
      </c>
      <c r="O783" s="1" t="s">
        <v>118</v>
      </c>
    </row>
    <row r="784" spans="1:15" ht="18.95" customHeight="1" x14ac:dyDescent="0.25">
      <c r="A784" s="1" t="s">
        <v>1025</v>
      </c>
      <c r="B784" s="30">
        <v>45949.5</v>
      </c>
      <c r="C784" s="1" t="s">
        <v>492</v>
      </c>
      <c r="D784" s="1" t="s">
        <v>493</v>
      </c>
      <c r="E784" s="1" t="s">
        <v>212</v>
      </c>
      <c r="F784" s="1" t="s">
        <v>83</v>
      </c>
      <c r="G784" s="1" t="s">
        <v>226</v>
      </c>
      <c r="H784" s="1" t="s">
        <v>85</v>
      </c>
      <c r="I784" s="31">
        <v>3</v>
      </c>
      <c r="J784" s="32">
        <v>76.489999999999995</v>
      </c>
      <c r="K784" s="32">
        <v>229.47</v>
      </c>
      <c r="L784" s="32">
        <v>169.11</v>
      </c>
      <c r="M784" s="32">
        <v>60.36</v>
      </c>
      <c r="N784" s="1" t="s">
        <v>117</v>
      </c>
      <c r="O784" s="1" t="s">
        <v>118</v>
      </c>
    </row>
    <row r="785" spans="1:15" ht="18.95" customHeight="1" x14ac:dyDescent="0.25">
      <c r="A785" s="1" t="s">
        <v>1026</v>
      </c>
      <c r="B785" s="30">
        <v>45951.5</v>
      </c>
      <c r="C785" s="1" t="s">
        <v>186</v>
      </c>
      <c r="D785" s="1" t="s">
        <v>187</v>
      </c>
      <c r="E785" s="1" t="s">
        <v>169</v>
      </c>
      <c r="F785" s="1" t="s">
        <v>170</v>
      </c>
      <c r="G785" s="1" t="s">
        <v>213</v>
      </c>
      <c r="H785" s="1" t="s">
        <v>93</v>
      </c>
      <c r="I785" s="31">
        <v>3</v>
      </c>
      <c r="J785" s="32">
        <v>33.65</v>
      </c>
      <c r="K785" s="32">
        <v>100.95</v>
      </c>
      <c r="L785" s="32">
        <v>63.35</v>
      </c>
      <c r="M785" s="32">
        <v>37.6</v>
      </c>
      <c r="N785" s="1" t="s">
        <v>86</v>
      </c>
      <c r="O785" s="1" t="s">
        <v>118</v>
      </c>
    </row>
    <row r="786" spans="1:15" ht="18.95" customHeight="1" x14ac:dyDescent="0.25">
      <c r="A786" s="1" t="s">
        <v>1027</v>
      </c>
      <c r="B786" s="30">
        <v>45953.5</v>
      </c>
      <c r="C786" s="1" t="s">
        <v>467</v>
      </c>
      <c r="D786" s="1" t="s">
        <v>468</v>
      </c>
      <c r="E786" s="1" t="s">
        <v>90</v>
      </c>
      <c r="F786" s="1" t="s">
        <v>91</v>
      </c>
      <c r="G786" s="1" t="s">
        <v>293</v>
      </c>
      <c r="H786" s="1" t="s">
        <v>99</v>
      </c>
      <c r="I786" s="31">
        <v>1</v>
      </c>
      <c r="J786" s="32">
        <v>106.58</v>
      </c>
      <c r="K786" s="32">
        <v>106.58</v>
      </c>
      <c r="L786" s="32">
        <v>81.78</v>
      </c>
      <c r="M786" s="32">
        <v>24.8</v>
      </c>
      <c r="N786" s="1" t="s">
        <v>117</v>
      </c>
      <c r="O786" s="1" t="s">
        <v>78</v>
      </c>
    </row>
    <row r="787" spans="1:15" ht="18.95" customHeight="1" x14ac:dyDescent="0.25">
      <c r="A787" s="1" t="s">
        <v>1028</v>
      </c>
      <c r="B787" s="30">
        <v>45956.5</v>
      </c>
      <c r="C787" s="1" t="s">
        <v>241</v>
      </c>
      <c r="D787" s="1" t="s">
        <v>242</v>
      </c>
      <c r="E787" s="1" t="s">
        <v>243</v>
      </c>
      <c r="F787" s="1" t="s">
        <v>165</v>
      </c>
      <c r="G787" s="1" t="s">
        <v>116</v>
      </c>
      <c r="H787" s="1" t="s">
        <v>76</v>
      </c>
      <c r="I787" s="31">
        <v>1</v>
      </c>
      <c r="J787" s="32">
        <v>15.29</v>
      </c>
      <c r="K787" s="32">
        <v>15.29</v>
      </c>
      <c r="L787" s="32">
        <v>6.93</v>
      </c>
      <c r="M787" s="32">
        <v>8.36</v>
      </c>
      <c r="N787" s="1" t="s">
        <v>86</v>
      </c>
      <c r="O787" s="1" t="s">
        <v>78</v>
      </c>
    </row>
    <row r="788" spans="1:15" ht="18.95" customHeight="1" x14ac:dyDescent="0.25">
      <c r="A788" s="1" t="s">
        <v>1029</v>
      </c>
      <c r="B788" s="30">
        <v>45957.5</v>
      </c>
      <c r="C788" s="1" t="s">
        <v>563</v>
      </c>
      <c r="D788" s="1" t="s">
        <v>564</v>
      </c>
      <c r="E788" s="1" t="s">
        <v>150</v>
      </c>
      <c r="F788" s="1" t="s">
        <v>105</v>
      </c>
      <c r="G788" s="1" t="s">
        <v>226</v>
      </c>
      <c r="H788" s="1" t="s">
        <v>85</v>
      </c>
      <c r="I788" s="31">
        <v>2</v>
      </c>
      <c r="J788" s="32">
        <v>72.67</v>
      </c>
      <c r="K788" s="32">
        <v>145.34</v>
      </c>
      <c r="L788" s="32">
        <v>102.38</v>
      </c>
      <c r="M788" s="32">
        <v>42.96</v>
      </c>
      <c r="N788" s="1" t="s">
        <v>86</v>
      </c>
      <c r="O788" s="1" t="s">
        <v>78</v>
      </c>
    </row>
    <row r="789" spans="1:15" ht="18.95" customHeight="1" x14ac:dyDescent="0.25">
      <c r="A789" s="1" t="s">
        <v>1030</v>
      </c>
      <c r="B789" s="30">
        <v>45958.5</v>
      </c>
      <c r="C789" s="1" t="s">
        <v>186</v>
      </c>
      <c r="D789" s="1" t="s">
        <v>187</v>
      </c>
      <c r="E789" s="1" t="s">
        <v>169</v>
      </c>
      <c r="F789" s="1" t="s">
        <v>170</v>
      </c>
      <c r="G789" s="1" t="s">
        <v>151</v>
      </c>
      <c r="H789" s="1" t="s">
        <v>76</v>
      </c>
      <c r="I789" s="31">
        <v>1</v>
      </c>
      <c r="J789" s="32">
        <v>19.37</v>
      </c>
      <c r="K789" s="32">
        <v>19.37</v>
      </c>
      <c r="L789" s="32">
        <v>9.84</v>
      </c>
      <c r="M789" s="32">
        <v>9.5299999999999994</v>
      </c>
      <c r="N789" s="1" t="s">
        <v>86</v>
      </c>
      <c r="O789" s="1" t="s">
        <v>112</v>
      </c>
    </row>
    <row r="790" spans="1:15" ht="18.95" customHeight="1" x14ac:dyDescent="0.25">
      <c r="A790" s="1" t="s">
        <v>1031</v>
      </c>
      <c r="B790" s="30">
        <v>45958.5</v>
      </c>
      <c r="C790" s="1" t="s">
        <v>805</v>
      </c>
      <c r="D790" s="1" t="s">
        <v>806</v>
      </c>
      <c r="E790" s="1" t="s">
        <v>82</v>
      </c>
      <c r="F790" s="1" t="s">
        <v>83</v>
      </c>
      <c r="G790" s="1" t="s">
        <v>179</v>
      </c>
      <c r="H790" s="1" t="s">
        <v>128</v>
      </c>
      <c r="I790" s="31">
        <v>3</v>
      </c>
      <c r="J790" s="32">
        <v>40.79</v>
      </c>
      <c r="K790" s="32">
        <v>122.37</v>
      </c>
      <c r="L790" s="32">
        <v>73.11</v>
      </c>
      <c r="M790" s="32">
        <v>49.26</v>
      </c>
      <c r="N790" s="1" t="s">
        <v>111</v>
      </c>
      <c r="O790" s="1" t="s">
        <v>112</v>
      </c>
    </row>
    <row r="791" spans="1:15" ht="18.95" customHeight="1" x14ac:dyDescent="0.25">
      <c r="A791" s="1" t="s">
        <v>1031</v>
      </c>
      <c r="B791" s="30">
        <v>45958.5</v>
      </c>
      <c r="C791" s="1" t="s">
        <v>805</v>
      </c>
      <c r="D791" s="1" t="s">
        <v>806</v>
      </c>
      <c r="E791" s="1" t="s">
        <v>82</v>
      </c>
      <c r="F791" s="1" t="s">
        <v>83</v>
      </c>
      <c r="G791" s="1" t="s">
        <v>230</v>
      </c>
      <c r="H791" s="1" t="s">
        <v>128</v>
      </c>
      <c r="I791" s="31">
        <v>3</v>
      </c>
      <c r="J791" s="32">
        <v>39.01</v>
      </c>
      <c r="K791" s="32">
        <v>117.03</v>
      </c>
      <c r="L791" s="32">
        <v>88.82</v>
      </c>
      <c r="M791" s="32">
        <v>28.21</v>
      </c>
      <c r="N791" s="1" t="s">
        <v>111</v>
      </c>
      <c r="O791" s="1" t="s">
        <v>112</v>
      </c>
    </row>
    <row r="792" spans="1:15" ht="18.95" customHeight="1" x14ac:dyDescent="0.25">
      <c r="A792" s="1" t="s">
        <v>1032</v>
      </c>
      <c r="B792" s="30">
        <v>45959.5</v>
      </c>
      <c r="C792" s="1" t="s">
        <v>1033</v>
      </c>
      <c r="D792" s="1" t="s">
        <v>1034</v>
      </c>
      <c r="E792" s="1" t="s">
        <v>169</v>
      </c>
      <c r="F792" s="1" t="s">
        <v>170</v>
      </c>
      <c r="G792" s="1" t="s">
        <v>213</v>
      </c>
      <c r="H792" s="1" t="s">
        <v>93</v>
      </c>
      <c r="I792" s="31">
        <v>3</v>
      </c>
      <c r="J792" s="32">
        <v>28.6</v>
      </c>
      <c r="K792" s="32">
        <v>85.8</v>
      </c>
      <c r="L792" s="32">
        <v>55.95</v>
      </c>
      <c r="M792" s="32">
        <v>29.85</v>
      </c>
      <c r="N792" s="1" t="s">
        <v>117</v>
      </c>
      <c r="O792" s="1" t="s">
        <v>78</v>
      </c>
    </row>
    <row r="793" spans="1:15" ht="18.95" customHeight="1" x14ac:dyDescent="0.25">
      <c r="A793" s="1" t="s">
        <v>1035</v>
      </c>
      <c r="B793" s="30">
        <v>45960.5</v>
      </c>
      <c r="C793" s="1" t="s">
        <v>130</v>
      </c>
      <c r="D793" s="1" t="s">
        <v>131</v>
      </c>
      <c r="E793" s="1" t="s">
        <v>82</v>
      </c>
      <c r="F793" s="1" t="s">
        <v>83</v>
      </c>
      <c r="G793" s="1" t="s">
        <v>110</v>
      </c>
      <c r="H793" s="1" t="s">
        <v>85</v>
      </c>
      <c r="I793" s="31">
        <v>1</v>
      </c>
      <c r="J793" s="32">
        <v>12.59</v>
      </c>
      <c r="K793" s="32">
        <v>12.59</v>
      </c>
      <c r="L793" s="32">
        <v>6.23</v>
      </c>
      <c r="M793" s="32">
        <v>6.36</v>
      </c>
      <c r="N793" s="1" t="s">
        <v>117</v>
      </c>
      <c r="O793" s="1" t="s">
        <v>78</v>
      </c>
    </row>
    <row r="794" spans="1:15" ht="18.95" customHeight="1" x14ac:dyDescent="0.25">
      <c r="A794" s="1" t="s">
        <v>1036</v>
      </c>
      <c r="B794" s="30">
        <v>45960.5</v>
      </c>
      <c r="C794" s="1" t="s">
        <v>347</v>
      </c>
      <c r="D794" s="1" t="s">
        <v>348</v>
      </c>
      <c r="E794" s="1" t="s">
        <v>330</v>
      </c>
      <c r="F794" s="1" t="s">
        <v>238</v>
      </c>
      <c r="G794" s="1" t="s">
        <v>132</v>
      </c>
      <c r="H794" s="1" t="s">
        <v>99</v>
      </c>
      <c r="I794" s="31">
        <v>1</v>
      </c>
      <c r="J794" s="32">
        <v>91.79</v>
      </c>
      <c r="K794" s="32">
        <v>91.79</v>
      </c>
      <c r="L794" s="32">
        <v>65.33</v>
      </c>
      <c r="M794" s="32">
        <v>26.46</v>
      </c>
      <c r="N794" s="1" t="s">
        <v>77</v>
      </c>
      <c r="O794" s="1" t="s">
        <v>78</v>
      </c>
    </row>
    <row r="795" spans="1:15" ht="18.95" customHeight="1" x14ac:dyDescent="0.25">
      <c r="A795" s="1" t="s">
        <v>1037</v>
      </c>
      <c r="B795" s="30">
        <v>45961.5</v>
      </c>
      <c r="C795" s="1" t="s">
        <v>261</v>
      </c>
      <c r="D795" s="1" t="s">
        <v>262</v>
      </c>
      <c r="E795" s="1" t="s">
        <v>169</v>
      </c>
      <c r="F795" s="1" t="s">
        <v>170</v>
      </c>
      <c r="G795" s="1" t="s">
        <v>202</v>
      </c>
      <c r="H795" s="1" t="s">
        <v>85</v>
      </c>
      <c r="I795" s="31">
        <v>1</v>
      </c>
      <c r="J795" s="32">
        <v>8.15</v>
      </c>
      <c r="K795" s="32">
        <v>8.15</v>
      </c>
      <c r="L795" s="32">
        <v>4.34</v>
      </c>
      <c r="M795" s="32">
        <v>3.81</v>
      </c>
      <c r="N795" s="1" t="s">
        <v>111</v>
      </c>
      <c r="O795" s="1" t="s">
        <v>78</v>
      </c>
    </row>
    <row r="796" spans="1:15" ht="18.95" customHeight="1" x14ac:dyDescent="0.25">
      <c r="A796" s="1" t="s">
        <v>1038</v>
      </c>
      <c r="B796" s="30">
        <v>45961.5</v>
      </c>
      <c r="C796" s="1" t="s">
        <v>484</v>
      </c>
      <c r="D796" s="1" t="s">
        <v>485</v>
      </c>
      <c r="E796" s="1" t="s">
        <v>174</v>
      </c>
      <c r="F796" s="1" t="s">
        <v>175</v>
      </c>
      <c r="G796" s="1" t="s">
        <v>179</v>
      </c>
      <c r="H796" s="1" t="s">
        <v>128</v>
      </c>
      <c r="I796" s="31">
        <v>1</v>
      </c>
      <c r="J796" s="32">
        <v>36.71</v>
      </c>
      <c r="K796" s="32">
        <v>36.71</v>
      </c>
      <c r="L796" s="32">
        <v>23.13</v>
      </c>
      <c r="M796" s="32">
        <v>13.58</v>
      </c>
      <c r="N796" s="1" t="s">
        <v>86</v>
      </c>
      <c r="O796" s="1" t="s">
        <v>78</v>
      </c>
    </row>
    <row r="797" spans="1:15" ht="18.95" customHeight="1" x14ac:dyDescent="0.25">
      <c r="A797" s="1" t="s">
        <v>1039</v>
      </c>
      <c r="B797" s="30">
        <v>45962.5</v>
      </c>
      <c r="C797" s="1" t="s">
        <v>296</v>
      </c>
      <c r="D797" s="1" t="s">
        <v>297</v>
      </c>
      <c r="E797" s="1" t="s">
        <v>174</v>
      </c>
      <c r="F797" s="1" t="s">
        <v>175</v>
      </c>
      <c r="G797" s="1" t="s">
        <v>319</v>
      </c>
      <c r="H797" s="1" t="s">
        <v>128</v>
      </c>
      <c r="I797" s="31">
        <v>1</v>
      </c>
      <c r="J797" s="32">
        <v>50.48</v>
      </c>
      <c r="K797" s="32">
        <v>50.48</v>
      </c>
      <c r="L797" s="32">
        <v>36.270000000000003</v>
      </c>
      <c r="M797" s="32">
        <v>14.21</v>
      </c>
      <c r="N797" s="1" t="s">
        <v>77</v>
      </c>
      <c r="O797" s="1" t="s">
        <v>78</v>
      </c>
    </row>
    <row r="798" spans="1:15" ht="18.95" customHeight="1" x14ac:dyDescent="0.25">
      <c r="A798" s="1" t="s">
        <v>1040</v>
      </c>
      <c r="B798" s="30">
        <v>45962.5</v>
      </c>
      <c r="C798" s="1" t="s">
        <v>508</v>
      </c>
      <c r="D798" s="1" t="s">
        <v>509</v>
      </c>
      <c r="E798" s="1" t="s">
        <v>150</v>
      </c>
      <c r="F798" s="1" t="s">
        <v>105</v>
      </c>
      <c r="G798" s="1" t="s">
        <v>98</v>
      </c>
      <c r="H798" s="1" t="s">
        <v>99</v>
      </c>
      <c r="I798" s="31">
        <v>2</v>
      </c>
      <c r="J798" s="32">
        <v>29.06</v>
      </c>
      <c r="K798" s="32">
        <v>58.12</v>
      </c>
      <c r="L798" s="32">
        <v>33.03</v>
      </c>
      <c r="M798" s="32">
        <v>25.09</v>
      </c>
      <c r="N798" s="1" t="s">
        <v>117</v>
      </c>
      <c r="O798" s="1" t="s">
        <v>78</v>
      </c>
    </row>
    <row r="799" spans="1:15" ht="18.95" customHeight="1" x14ac:dyDescent="0.25">
      <c r="A799" s="1" t="s">
        <v>1041</v>
      </c>
      <c r="B799" s="30">
        <v>45962.5</v>
      </c>
      <c r="C799" s="1" t="s">
        <v>640</v>
      </c>
      <c r="D799" s="1" t="s">
        <v>641</v>
      </c>
      <c r="E799" s="1" t="s">
        <v>330</v>
      </c>
      <c r="F799" s="1" t="s">
        <v>238</v>
      </c>
      <c r="G799" s="1" t="s">
        <v>202</v>
      </c>
      <c r="H799" s="1" t="s">
        <v>85</v>
      </c>
      <c r="I799" s="31">
        <v>1</v>
      </c>
      <c r="J799" s="32">
        <v>8.15</v>
      </c>
      <c r="K799" s="32">
        <v>8.15</v>
      </c>
      <c r="L799" s="32">
        <v>4.34</v>
      </c>
      <c r="M799" s="32">
        <v>3.81</v>
      </c>
      <c r="N799" s="1" t="s">
        <v>117</v>
      </c>
      <c r="O799" s="1" t="s">
        <v>78</v>
      </c>
    </row>
    <row r="800" spans="1:15" ht="18.95" customHeight="1" x14ac:dyDescent="0.25">
      <c r="A800" s="1" t="s">
        <v>1042</v>
      </c>
      <c r="B800" s="30">
        <v>45963.5</v>
      </c>
      <c r="C800" s="1" t="s">
        <v>130</v>
      </c>
      <c r="D800" s="1" t="s">
        <v>131</v>
      </c>
      <c r="E800" s="1" t="s">
        <v>82</v>
      </c>
      <c r="F800" s="1" t="s">
        <v>83</v>
      </c>
      <c r="G800" s="1" t="s">
        <v>138</v>
      </c>
      <c r="H800" s="1" t="s">
        <v>99</v>
      </c>
      <c r="I800" s="31">
        <v>1</v>
      </c>
      <c r="J800" s="32">
        <v>35.69</v>
      </c>
      <c r="K800" s="32">
        <v>35.69</v>
      </c>
      <c r="L800" s="32">
        <v>24.53</v>
      </c>
      <c r="M800" s="32">
        <v>11.16</v>
      </c>
      <c r="N800" s="1" t="s">
        <v>117</v>
      </c>
      <c r="O800" s="1" t="s">
        <v>118</v>
      </c>
    </row>
    <row r="801" spans="1:15" ht="18.95" customHeight="1" x14ac:dyDescent="0.25">
      <c r="A801" s="1" t="s">
        <v>1043</v>
      </c>
      <c r="B801" s="30">
        <v>45963.5</v>
      </c>
      <c r="C801" s="1" t="s">
        <v>816</v>
      </c>
      <c r="D801" s="1" t="s">
        <v>817</v>
      </c>
      <c r="E801" s="1" t="s">
        <v>104</v>
      </c>
      <c r="F801" s="1" t="s">
        <v>105</v>
      </c>
      <c r="G801" s="1" t="s">
        <v>155</v>
      </c>
      <c r="H801" s="1" t="s">
        <v>93</v>
      </c>
      <c r="I801" s="31">
        <v>1</v>
      </c>
      <c r="J801" s="32">
        <v>28.55</v>
      </c>
      <c r="K801" s="32">
        <v>28.55</v>
      </c>
      <c r="L801" s="32">
        <v>16.21</v>
      </c>
      <c r="M801" s="32">
        <v>12.34</v>
      </c>
      <c r="N801" s="1" t="s">
        <v>77</v>
      </c>
      <c r="O801" s="1" t="s">
        <v>118</v>
      </c>
    </row>
    <row r="802" spans="1:15" ht="18.95" customHeight="1" x14ac:dyDescent="0.25">
      <c r="A802" s="1" t="s">
        <v>1043</v>
      </c>
      <c r="B802" s="30">
        <v>45963.5</v>
      </c>
      <c r="C802" s="1" t="s">
        <v>816</v>
      </c>
      <c r="D802" s="1" t="s">
        <v>817</v>
      </c>
      <c r="E802" s="1" t="s">
        <v>104</v>
      </c>
      <c r="F802" s="1" t="s">
        <v>105</v>
      </c>
      <c r="G802" s="1" t="s">
        <v>195</v>
      </c>
      <c r="H802" s="1" t="s">
        <v>128</v>
      </c>
      <c r="I802" s="31">
        <v>2</v>
      </c>
      <c r="J802" s="32">
        <v>142.79</v>
      </c>
      <c r="K802" s="32">
        <v>285.58</v>
      </c>
      <c r="L802" s="32">
        <v>236.04</v>
      </c>
      <c r="M802" s="32">
        <v>49.54</v>
      </c>
      <c r="N802" s="1" t="s">
        <v>77</v>
      </c>
      <c r="O802" s="1" t="s">
        <v>118</v>
      </c>
    </row>
    <row r="803" spans="1:15" ht="18.95" customHeight="1" x14ac:dyDescent="0.25">
      <c r="A803" s="1" t="s">
        <v>1044</v>
      </c>
      <c r="B803" s="30">
        <v>45964.5</v>
      </c>
      <c r="C803" s="1" t="s">
        <v>270</v>
      </c>
      <c r="D803" s="1" t="s">
        <v>271</v>
      </c>
      <c r="E803" s="1" t="s">
        <v>212</v>
      </c>
      <c r="F803" s="1" t="s">
        <v>83</v>
      </c>
      <c r="G803" s="1" t="s">
        <v>138</v>
      </c>
      <c r="H803" s="1" t="s">
        <v>99</v>
      </c>
      <c r="I803" s="31">
        <v>1</v>
      </c>
      <c r="J803" s="32">
        <v>33.909999999999997</v>
      </c>
      <c r="K803" s="32">
        <v>33.909999999999997</v>
      </c>
      <c r="L803" s="32">
        <v>22.96</v>
      </c>
      <c r="M803" s="32">
        <v>10.95</v>
      </c>
      <c r="N803" s="1" t="s">
        <v>111</v>
      </c>
      <c r="O803" s="1" t="s">
        <v>112</v>
      </c>
    </row>
    <row r="804" spans="1:15" ht="18.95" customHeight="1" x14ac:dyDescent="0.25">
      <c r="A804" s="1" t="s">
        <v>1044</v>
      </c>
      <c r="B804" s="30">
        <v>45964.5</v>
      </c>
      <c r="C804" s="1" t="s">
        <v>270</v>
      </c>
      <c r="D804" s="1" t="s">
        <v>271</v>
      </c>
      <c r="E804" s="1" t="s">
        <v>212</v>
      </c>
      <c r="F804" s="1" t="s">
        <v>83</v>
      </c>
      <c r="G804" s="1" t="s">
        <v>179</v>
      </c>
      <c r="H804" s="1" t="s">
        <v>128</v>
      </c>
      <c r="I804" s="31">
        <v>1</v>
      </c>
      <c r="J804" s="32">
        <v>40.79</v>
      </c>
      <c r="K804" s="32">
        <v>40.79</v>
      </c>
      <c r="L804" s="32">
        <v>24.37</v>
      </c>
      <c r="M804" s="32">
        <v>16.420000000000002</v>
      </c>
      <c r="N804" s="1" t="s">
        <v>111</v>
      </c>
      <c r="O804" s="1" t="s">
        <v>112</v>
      </c>
    </row>
    <row r="805" spans="1:15" ht="18.95" customHeight="1" x14ac:dyDescent="0.25">
      <c r="A805" s="1" t="s">
        <v>1045</v>
      </c>
      <c r="B805" s="30">
        <v>45964.5</v>
      </c>
      <c r="C805" s="1" t="s">
        <v>484</v>
      </c>
      <c r="D805" s="1" t="s">
        <v>485</v>
      </c>
      <c r="E805" s="1" t="s">
        <v>174</v>
      </c>
      <c r="F805" s="1" t="s">
        <v>175</v>
      </c>
      <c r="G805" s="1" t="s">
        <v>230</v>
      </c>
      <c r="H805" s="1" t="s">
        <v>128</v>
      </c>
      <c r="I805" s="31">
        <v>2</v>
      </c>
      <c r="J805" s="32">
        <v>45.89</v>
      </c>
      <c r="K805" s="32">
        <v>91.78</v>
      </c>
      <c r="L805" s="32">
        <v>60.31</v>
      </c>
      <c r="M805" s="32">
        <v>31.47</v>
      </c>
      <c r="N805" s="1" t="s">
        <v>117</v>
      </c>
      <c r="O805" s="1" t="s">
        <v>112</v>
      </c>
    </row>
    <row r="806" spans="1:15" ht="18.95" customHeight="1" x14ac:dyDescent="0.25">
      <c r="A806" s="1" t="s">
        <v>1046</v>
      </c>
      <c r="B806" s="30">
        <v>45965.5</v>
      </c>
      <c r="C806" s="1" t="s">
        <v>373</v>
      </c>
      <c r="D806" s="1" t="s">
        <v>374</v>
      </c>
      <c r="E806" s="1" t="s">
        <v>90</v>
      </c>
      <c r="F806" s="1" t="s">
        <v>91</v>
      </c>
      <c r="G806" s="1" t="s">
        <v>322</v>
      </c>
      <c r="H806" s="1" t="s">
        <v>128</v>
      </c>
      <c r="I806" s="31">
        <v>1</v>
      </c>
      <c r="J806" s="32">
        <v>61.19</v>
      </c>
      <c r="K806" s="32">
        <v>61.19</v>
      </c>
      <c r="L806" s="32">
        <v>45.7</v>
      </c>
      <c r="M806" s="32">
        <v>15.49</v>
      </c>
      <c r="N806" s="1" t="s">
        <v>77</v>
      </c>
      <c r="O806" s="1" t="s">
        <v>118</v>
      </c>
    </row>
    <row r="807" spans="1:15" ht="18.95" customHeight="1" x14ac:dyDescent="0.25">
      <c r="A807" s="1" t="s">
        <v>1047</v>
      </c>
      <c r="B807" s="30">
        <v>45965.5</v>
      </c>
      <c r="C807" s="1" t="s">
        <v>273</v>
      </c>
      <c r="D807" s="1" t="s">
        <v>274</v>
      </c>
      <c r="E807" s="1" t="s">
        <v>169</v>
      </c>
      <c r="F807" s="1" t="s">
        <v>170</v>
      </c>
      <c r="G807" s="1" t="s">
        <v>75</v>
      </c>
      <c r="H807" s="1" t="s">
        <v>76</v>
      </c>
      <c r="I807" s="31">
        <v>2</v>
      </c>
      <c r="J807" s="32">
        <v>24.78</v>
      </c>
      <c r="K807" s="32">
        <v>49.56</v>
      </c>
      <c r="L807" s="32">
        <v>29.02</v>
      </c>
      <c r="M807" s="32">
        <v>20.54</v>
      </c>
      <c r="N807" s="1" t="s">
        <v>77</v>
      </c>
      <c r="O807" s="1" t="s">
        <v>78</v>
      </c>
    </row>
    <row r="808" spans="1:15" ht="18.95" customHeight="1" x14ac:dyDescent="0.25">
      <c r="A808" s="1" t="s">
        <v>1047</v>
      </c>
      <c r="B808" s="30">
        <v>45965.5</v>
      </c>
      <c r="C808" s="1" t="s">
        <v>273</v>
      </c>
      <c r="D808" s="1" t="s">
        <v>274</v>
      </c>
      <c r="E808" s="1" t="s">
        <v>169</v>
      </c>
      <c r="F808" s="1" t="s">
        <v>170</v>
      </c>
      <c r="G808" s="1" t="s">
        <v>98</v>
      </c>
      <c r="H808" s="1" t="s">
        <v>99</v>
      </c>
      <c r="I808" s="31">
        <v>2</v>
      </c>
      <c r="J808" s="32">
        <v>29.06</v>
      </c>
      <c r="K808" s="32">
        <v>58.12</v>
      </c>
      <c r="L808" s="32">
        <v>33.03</v>
      </c>
      <c r="M808" s="32">
        <v>25.09</v>
      </c>
      <c r="N808" s="1" t="s">
        <v>77</v>
      </c>
      <c r="O808" s="1" t="s">
        <v>78</v>
      </c>
    </row>
    <row r="809" spans="1:15" ht="18.95" customHeight="1" x14ac:dyDescent="0.25">
      <c r="A809" s="1" t="s">
        <v>1048</v>
      </c>
      <c r="B809" s="30">
        <v>45966.5</v>
      </c>
      <c r="C809" s="1" t="s">
        <v>186</v>
      </c>
      <c r="D809" s="1" t="s">
        <v>187</v>
      </c>
      <c r="E809" s="1" t="s">
        <v>169</v>
      </c>
      <c r="F809" s="1" t="s">
        <v>170</v>
      </c>
      <c r="G809" s="1" t="s">
        <v>202</v>
      </c>
      <c r="H809" s="1" t="s">
        <v>85</v>
      </c>
      <c r="I809" s="31">
        <v>1</v>
      </c>
      <c r="J809" s="32">
        <v>7.33</v>
      </c>
      <c r="K809" s="32">
        <v>7.33</v>
      </c>
      <c r="L809" s="32">
        <v>4.3</v>
      </c>
      <c r="M809" s="32">
        <v>3.03</v>
      </c>
      <c r="N809" s="1" t="s">
        <v>86</v>
      </c>
      <c r="O809" s="1" t="s">
        <v>78</v>
      </c>
    </row>
    <row r="810" spans="1:15" ht="18.95" customHeight="1" x14ac:dyDescent="0.25">
      <c r="A810" s="1" t="s">
        <v>1049</v>
      </c>
      <c r="B810" s="30">
        <v>45966.5</v>
      </c>
      <c r="C810" s="1" t="s">
        <v>910</v>
      </c>
      <c r="D810" s="1" t="s">
        <v>911</v>
      </c>
      <c r="E810" s="1" t="s">
        <v>391</v>
      </c>
      <c r="F810" s="1" t="s">
        <v>170</v>
      </c>
      <c r="G810" s="1" t="s">
        <v>127</v>
      </c>
      <c r="H810" s="1" t="s">
        <v>128</v>
      </c>
      <c r="I810" s="31">
        <v>2</v>
      </c>
      <c r="J810" s="32">
        <v>22.94</v>
      </c>
      <c r="K810" s="32">
        <v>45.88</v>
      </c>
      <c r="L810" s="32">
        <v>30.42</v>
      </c>
      <c r="M810" s="32">
        <v>15.46</v>
      </c>
      <c r="N810" s="1" t="s">
        <v>117</v>
      </c>
      <c r="O810" s="1" t="s">
        <v>78</v>
      </c>
    </row>
    <row r="811" spans="1:15" ht="18.95" customHeight="1" x14ac:dyDescent="0.25">
      <c r="A811" s="1" t="s">
        <v>1050</v>
      </c>
      <c r="B811" s="30">
        <v>45966.5</v>
      </c>
      <c r="C811" s="1" t="s">
        <v>389</v>
      </c>
      <c r="D811" s="1" t="s">
        <v>390</v>
      </c>
      <c r="E811" s="1" t="s">
        <v>391</v>
      </c>
      <c r="F811" s="1" t="s">
        <v>170</v>
      </c>
      <c r="G811" s="1" t="s">
        <v>179</v>
      </c>
      <c r="H811" s="1" t="s">
        <v>128</v>
      </c>
      <c r="I811" s="31">
        <v>2</v>
      </c>
      <c r="J811" s="32">
        <v>38.75</v>
      </c>
      <c r="K811" s="32">
        <v>77.5</v>
      </c>
      <c r="L811" s="32">
        <v>46.48</v>
      </c>
      <c r="M811" s="32">
        <v>31.02</v>
      </c>
      <c r="N811" s="1" t="s">
        <v>77</v>
      </c>
      <c r="O811" s="1" t="s">
        <v>78</v>
      </c>
    </row>
    <row r="812" spans="1:15" ht="18.95" customHeight="1" x14ac:dyDescent="0.25">
      <c r="A812" s="1" t="s">
        <v>1051</v>
      </c>
      <c r="B812" s="30">
        <v>45967.5</v>
      </c>
      <c r="C812" s="1" t="s">
        <v>95</v>
      </c>
      <c r="D812" s="1" t="s">
        <v>96</v>
      </c>
      <c r="E812" s="1" t="s">
        <v>97</v>
      </c>
      <c r="F812" s="1" t="s">
        <v>91</v>
      </c>
      <c r="G812" s="1" t="s">
        <v>75</v>
      </c>
      <c r="H812" s="1" t="s">
        <v>76</v>
      </c>
      <c r="I812" s="31">
        <v>3</v>
      </c>
      <c r="J812" s="32">
        <v>27.53</v>
      </c>
      <c r="K812" s="32">
        <v>82.59</v>
      </c>
      <c r="L812" s="32">
        <v>49.36</v>
      </c>
      <c r="M812" s="32">
        <v>33.229999999999997</v>
      </c>
      <c r="N812" s="1" t="s">
        <v>117</v>
      </c>
      <c r="O812" s="1" t="s">
        <v>118</v>
      </c>
    </row>
    <row r="813" spans="1:15" ht="18.95" customHeight="1" x14ac:dyDescent="0.25">
      <c r="A813" s="1" t="s">
        <v>1052</v>
      </c>
      <c r="B813" s="30">
        <v>45967.5</v>
      </c>
      <c r="C813" s="1" t="s">
        <v>373</v>
      </c>
      <c r="D813" s="1" t="s">
        <v>374</v>
      </c>
      <c r="E813" s="1" t="s">
        <v>90</v>
      </c>
      <c r="F813" s="1" t="s">
        <v>91</v>
      </c>
      <c r="G813" s="1" t="s">
        <v>92</v>
      </c>
      <c r="H813" s="1" t="s">
        <v>93</v>
      </c>
      <c r="I813" s="31">
        <v>1</v>
      </c>
      <c r="J813" s="32">
        <v>71.39</v>
      </c>
      <c r="K813" s="32">
        <v>71.39</v>
      </c>
      <c r="L813" s="32">
        <v>49.05</v>
      </c>
      <c r="M813" s="32">
        <v>22.34</v>
      </c>
      <c r="N813" s="1" t="s">
        <v>117</v>
      </c>
      <c r="O813" s="1" t="s">
        <v>112</v>
      </c>
    </row>
    <row r="814" spans="1:15" ht="18.95" customHeight="1" x14ac:dyDescent="0.25">
      <c r="A814" s="1" t="s">
        <v>1053</v>
      </c>
      <c r="B814" s="30">
        <v>45967.5</v>
      </c>
      <c r="C814" s="1" t="s">
        <v>347</v>
      </c>
      <c r="D814" s="1" t="s">
        <v>348</v>
      </c>
      <c r="E814" s="1" t="s">
        <v>330</v>
      </c>
      <c r="F814" s="1" t="s">
        <v>238</v>
      </c>
      <c r="G814" s="1" t="s">
        <v>98</v>
      </c>
      <c r="H814" s="1" t="s">
        <v>99</v>
      </c>
      <c r="I814" s="31">
        <v>4</v>
      </c>
      <c r="J814" s="32">
        <v>30.59</v>
      </c>
      <c r="K814" s="32">
        <v>122.36</v>
      </c>
      <c r="L814" s="32">
        <v>66.39</v>
      </c>
      <c r="M814" s="32">
        <v>55.97</v>
      </c>
      <c r="N814" s="1" t="s">
        <v>111</v>
      </c>
      <c r="O814" s="1" t="s">
        <v>78</v>
      </c>
    </row>
    <row r="815" spans="1:15" ht="18.95" customHeight="1" x14ac:dyDescent="0.25">
      <c r="A815" s="1" t="s">
        <v>1054</v>
      </c>
      <c r="B815" s="30">
        <v>45969.5</v>
      </c>
      <c r="C815" s="1" t="s">
        <v>402</v>
      </c>
      <c r="D815" s="1" t="s">
        <v>403</v>
      </c>
      <c r="E815" s="1" t="s">
        <v>104</v>
      </c>
      <c r="F815" s="1" t="s">
        <v>105</v>
      </c>
      <c r="G815" s="1" t="s">
        <v>293</v>
      </c>
      <c r="H815" s="1" t="s">
        <v>99</v>
      </c>
      <c r="I815" s="31">
        <v>2</v>
      </c>
      <c r="J815" s="32">
        <v>100.97</v>
      </c>
      <c r="K815" s="32">
        <v>201.94</v>
      </c>
      <c r="L815" s="32">
        <v>162.94</v>
      </c>
      <c r="M815" s="32">
        <v>39</v>
      </c>
      <c r="N815" s="1" t="s">
        <v>100</v>
      </c>
      <c r="O815" s="1" t="s">
        <v>78</v>
      </c>
    </row>
    <row r="816" spans="1:15" ht="18.95" customHeight="1" x14ac:dyDescent="0.25">
      <c r="A816" s="1" t="s">
        <v>1054</v>
      </c>
      <c r="B816" s="30">
        <v>45969.5</v>
      </c>
      <c r="C816" s="1" t="s">
        <v>402</v>
      </c>
      <c r="D816" s="1" t="s">
        <v>403</v>
      </c>
      <c r="E816" s="1" t="s">
        <v>104</v>
      </c>
      <c r="F816" s="1" t="s">
        <v>105</v>
      </c>
      <c r="G816" s="1" t="s">
        <v>132</v>
      </c>
      <c r="H816" s="1" t="s">
        <v>99</v>
      </c>
      <c r="I816" s="31">
        <v>1</v>
      </c>
      <c r="J816" s="32">
        <v>91.79</v>
      </c>
      <c r="K816" s="32">
        <v>91.79</v>
      </c>
      <c r="L816" s="32">
        <v>65.33</v>
      </c>
      <c r="M816" s="32">
        <v>26.46</v>
      </c>
      <c r="N816" s="1" t="s">
        <v>100</v>
      </c>
      <c r="O816" s="1" t="s">
        <v>78</v>
      </c>
    </row>
    <row r="817" spans="1:15" ht="18.95" customHeight="1" x14ac:dyDescent="0.25">
      <c r="A817" s="1" t="s">
        <v>1055</v>
      </c>
      <c r="B817" s="30">
        <v>45969.5</v>
      </c>
      <c r="C817" s="1" t="s">
        <v>574</v>
      </c>
      <c r="D817" s="1" t="s">
        <v>575</v>
      </c>
      <c r="E817" s="1" t="s">
        <v>104</v>
      </c>
      <c r="F817" s="1" t="s">
        <v>105</v>
      </c>
      <c r="G817" s="1" t="s">
        <v>157</v>
      </c>
      <c r="H817" s="1" t="s">
        <v>93</v>
      </c>
      <c r="I817" s="31">
        <v>2</v>
      </c>
      <c r="J817" s="32">
        <v>16.309999999999999</v>
      </c>
      <c r="K817" s="32">
        <v>32.619999999999997</v>
      </c>
      <c r="L817" s="32">
        <v>21.77</v>
      </c>
      <c r="M817" s="32">
        <v>10.85</v>
      </c>
      <c r="N817" s="1" t="s">
        <v>117</v>
      </c>
      <c r="O817" s="1" t="s">
        <v>118</v>
      </c>
    </row>
    <row r="818" spans="1:15" ht="18.95" customHeight="1" x14ac:dyDescent="0.25">
      <c r="A818" s="1" t="s">
        <v>1056</v>
      </c>
      <c r="B818" s="30">
        <v>45969.5</v>
      </c>
      <c r="C818" s="1" t="s">
        <v>288</v>
      </c>
      <c r="D818" s="1" t="s">
        <v>289</v>
      </c>
      <c r="E818" s="1" t="s">
        <v>104</v>
      </c>
      <c r="F818" s="1" t="s">
        <v>105</v>
      </c>
      <c r="G818" s="1" t="s">
        <v>230</v>
      </c>
      <c r="H818" s="1" t="s">
        <v>128</v>
      </c>
      <c r="I818" s="31">
        <v>1</v>
      </c>
      <c r="J818" s="32">
        <v>43.6</v>
      </c>
      <c r="K818" s="32">
        <v>43.6</v>
      </c>
      <c r="L818" s="32">
        <v>28.88</v>
      </c>
      <c r="M818" s="32">
        <v>14.72</v>
      </c>
      <c r="N818" s="1" t="s">
        <v>117</v>
      </c>
      <c r="O818" s="1" t="s">
        <v>78</v>
      </c>
    </row>
    <row r="819" spans="1:15" ht="18.95" customHeight="1" x14ac:dyDescent="0.25">
      <c r="A819" s="1" t="s">
        <v>1056</v>
      </c>
      <c r="B819" s="30">
        <v>45969.5</v>
      </c>
      <c r="C819" s="1" t="s">
        <v>288</v>
      </c>
      <c r="D819" s="1" t="s">
        <v>289</v>
      </c>
      <c r="E819" s="1" t="s">
        <v>104</v>
      </c>
      <c r="F819" s="1" t="s">
        <v>105</v>
      </c>
      <c r="G819" s="1" t="s">
        <v>155</v>
      </c>
      <c r="H819" s="1" t="s">
        <v>93</v>
      </c>
      <c r="I819" s="31">
        <v>2</v>
      </c>
      <c r="J819" s="32">
        <v>28.55</v>
      </c>
      <c r="K819" s="32">
        <v>57.1</v>
      </c>
      <c r="L819" s="32">
        <v>28.71</v>
      </c>
      <c r="M819" s="32">
        <v>28.39</v>
      </c>
      <c r="N819" s="1" t="s">
        <v>117</v>
      </c>
      <c r="O819" s="1" t="s">
        <v>78</v>
      </c>
    </row>
    <row r="820" spans="1:15" ht="18.95" customHeight="1" x14ac:dyDescent="0.25">
      <c r="A820" s="1" t="s">
        <v>1057</v>
      </c>
      <c r="B820" s="30">
        <v>45970.5</v>
      </c>
      <c r="C820" s="1" t="s">
        <v>626</v>
      </c>
      <c r="D820" s="1" t="s">
        <v>627</v>
      </c>
      <c r="E820" s="1" t="s">
        <v>97</v>
      </c>
      <c r="F820" s="1" t="s">
        <v>91</v>
      </c>
      <c r="G820" s="1" t="s">
        <v>116</v>
      </c>
      <c r="H820" s="1" t="s">
        <v>76</v>
      </c>
      <c r="I820" s="31">
        <v>1</v>
      </c>
      <c r="J820" s="32">
        <v>14.53</v>
      </c>
      <c r="K820" s="32">
        <v>14.53</v>
      </c>
      <c r="L820" s="32">
        <v>7.25</v>
      </c>
      <c r="M820" s="32">
        <v>7.28</v>
      </c>
      <c r="N820" s="1" t="s">
        <v>315</v>
      </c>
      <c r="O820" s="1" t="s">
        <v>112</v>
      </c>
    </row>
    <row r="821" spans="1:15" ht="18.95" customHeight="1" x14ac:dyDescent="0.25">
      <c r="A821" s="1" t="s">
        <v>1058</v>
      </c>
      <c r="B821" s="30">
        <v>45970.5</v>
      </c>
      <c r="C821" s="1" t="s">
        <v>687</v>
      </c>
      <c r="D821" s="1" t="s">
        <v>688</v>
      </c>
      <c r="E821" s="1" t="s">
        <v>174</v>
      </c>
      <c r="F821" s="1" t="s">
        <v>175</v>
      </c>
      <c r="G821" s="1" t="s">
        <v>306</v>
      </c>
      <c r="H821" s="1" t="s">
        <v>76</v>
      </c>
      <c r="I821" s="31">
        <v>1</v>
      </c>
      <c r="J821" s="32">
        <v>21.67</v>
      </c>
      <c r="K821" s="32">
        <v>21.67</v>
      </c>
      <c r="L821" s="32">
        <v>13.4</v>
      </c>
      <c r="M821" s="32">
        <v>8.27</v>
      </c>
      <c r="N821" s="1" t="s">
        <v>86</v>
      </c>
      <c r="O821" s="1" t="s">
        <v>112</v>
      </c>
    </row>
    <row r="822" spans="1:15" ht="18.95" customHeight="1" x14ac:dyDescent="0.25">
      <c r="A822" s="1" t="s">
        <v>1058</v>
      </c>
      <c r="B822" s="30">
        <v>45970.5</v>
      </c>
      <c r="C822" s="1" t="s">
        <v>687</v>
      </c>
      <c r="D822" s="1" t="s">
        <v>688</v>
      </c>
      <c r="E822" s="1" t="s">
        <v>174</v>
      </c>
      <c r="F822" s="1" t="s">
        <v>175</v>
      </c>
      <c r="G822" s="1" t="s">
        <v>75</v>
      </c>
      <c r="H822" s="1" t="s">
        <v>76</v>
      </c>
      <c r="I822" s="31">
        <v>3</v>
      </c>
      <c r="J822" s="32">
        <v>27.53</v>
      </c>
      <c r="K822" s="32">
        <v>82.59</v>
      </c>
      <c r="L822" s="32">
        <v>46.06</v>
      </c>
      <c r="M822" s="32">
        <v>36.53</v>
      </c>
      <c r="N822" s="1" t="s">
        <v>86</v>
      </c>
      <c r="O822" s="1" t="s">
        <v>112</v>
      </c>
    </row>
    <row r="823" spans="1:15" ht="18.95" customHeight="1" x14ac:dyDescent="0.25">
      <c r="A823" s="1" t="s">
        <v>1059</v>
      </c>
      <c r="B823" s="30">
        <v>45972.5</v>
      </c>
      <c r="C823" s="1" t="s">
        <v>296</v>
      </c>
      <c r="D823" s="1" t="s">
        <v>297</v>
      </c>
      <c r="E823" s="1" t="s">
        <v>174</v>
      </c>
      <c r="F823" s="1" t="s">
        <v>175</v>
      </c>
      <c r="G823" s="1" t="s">
        <v>116</v>
      </c>
      <c r="H823" s="1" t="s">
        <v>76</v>
      </c>
      <c r="I823" s="31">
        <v>4</v>
      </c>
      <c r="J823" s="32">
        <v>13</v>
      </c>
      <c r="K823" s="32">
        <v>52</v>
      </c>
      <c r="L823" s="32">
        <v>28.5</v>
      </c>
      <c r="M823" s="32">
        <v>23.5</v>
      </c>
      <c r="N823" s="1" t="s">
        <v>86</v>
      </c>
      <c r="O823" s="1" t="s">
        <v>112</v>
      </c>
    </row>
    <row r="824" spans="1:15" ht="18.95" customHeight="1" x14ac:dyDescent="0.25">
      <c r="A824" s="1" t="s">
        <v>1060</v>
      </c>
      <c r="B824" s="30">
        <v>45972.5</v>
      </c>
      <c r="C824" s="1" t="s">
        <v>539</v>
      </c>
      <c r="D824" s="1" t="s">
        <v>540</v>
      </c>
      <c r="E824" s="1" t="s">
        <v>212</v>
      </c>
      <c r="F824" s="1" t="s">
        <v>83</v>
      </c>
      <c r="G824" s="1" t="s">
        <v>84</v>
      </c>
      <c r="H824" s="1" t="s">
        <v>85</v>
      </c>
      <c r="I824" s="31">
        <v>3</v>
      </c>
      <c r="J824" s="32">
        <v>9.17</v>
      </c>
      <c r="K824" s="32">
        <v>27.51</v>
      </c>
      <c r="L824" s="32">
        <v>13.98</v>
      </c>
      <c r="M824" s="32">
        <v>13.53</v>
      </c>
      <c r="N824" s="1" t="s">
        <v>77</v>
      </c>
      <c r="O824" s="1" t="s">
        <v>118</v>
      </c>
    </row>
    <row r="825" spans="1:15" ht="18.95" customHeight="1" x14ac:dyDescent="0.25">
      <c r="A825" s="1" t="s">
        <v>1060</v>
      </c>
      <c r="B825" s="30">
        <v>45972.5</v>
      </c>
      <c r="C825" s="1" t="s">
        <v>539</v>
      </c>
      <c r="D825" s="1" t="s">
        <v>540</v>
      </c>
      <c r="E825" s="1" t="s">
        <v>212</v>
      </c>
      <c r="F825" s="1" t="s">
        <v>83</v>
      </c>
      <c r="G825" s="1" t="s">
        <v>230</v>
      </c>
      <c r="H825" s="1" t="s">
        <v>128</v>
      </c>
      <c r="I825" s="31">
        <v>1</v>
      </c>
      <c r="J825" s="32">
        <v>45.89</v>
      </c>
      <c r="K825" s="32">
        <v>45.89</v>
      </c>
      <c r="L825" s="32">
        <v>31.99</v>
      </c>
      <c r="M825" s="32">
        <v>13.9</v>
      </c>
      <c r="N825" s="1" t="s">
        <v>77</v>
      </c>
      <c r="O825" s="1" t="s">
        <v>118</v>
      </c>
    </row>
    <row r="826" spans="1:15" ht="18.95" customHeight="1" x14ac:dyDescent="0.25">
      <c r="A826" s="1" t="s">
        <v>1061</v>
      </c>
      <c r="B826" s="30">
        <v>45974.5</v>
      </c>
      <c r="C826" s="1" t="s">
        <v>373</v>
      </c>
      <c r="D826" s="1" t="s">
        <v>374</v>
      </c>
      <c r="E826" s="1" t="s">
        <v>90</v>
      </c>
      <c r="F826" s="1" t="s">
        <v>91</v>
      </c>
      <c r="G826" s="1" t="s">
        <v>98</v>
      </c>
      <c r="H826" s="1" t="s">
        <v>99</v>
      </c>
      <c r="I826" s="31">
        <v>2</v>
      </c>
      <c r="J826" s="32">
        <v>30.59</v>
      </c>
      <c r="K826" s="32">
        <v>61.18</v>
      </c>
      <c r="L826" s="32">
        <v>33.200000000000003</v>
      </c>
      <c r="M826" s="32">
        <v>27.98</v>
      </c>
      <c r="N826" s="1" t="s">
        <v>86</v>
      </c>
      <c r="O826" s="1" t="s">
        <v>78</v>
      </c>
    </row>
    <row r="827" spans="1:15" ht="18.95" customHeight="1" x14ac:dyDescent="0.25">
      <c r="A827" s="1" t="s">
        <v>1062</v>
      </c>
      <c r="B827" s="30">
        <v>45974.5</v>
      </c>
      <c r="C827" s="1" t="s">
        <v>141</v>
      </c>
      <c r="D827" s="1" t="s">
        <v>142</v>
      </c>
      <c r="E827" s="1" t="s">
        <v>82</v>
      </c>
      <c r="F827" s="1" t="s">
        <v>83</v>
      </c>
      <c r="G827" s="1" t="s">
        <v>306</v>
      </c>
      <c r="H827" s="1" t="s">
        <v>76</v>
      </c>
      <c r="I827" s="31">
        <v>1</v>
      </c>
      <c r="J827" s="32">
        <v>25.49</v>
      </c>
      <c r="K827" s="32">
        <v>25.49</v>
      </c>
      <c r="L827" s="32">
        <v>13.07</v>
      </c>
      <c r="M827" s="32">
        <v>12.42</v>
      </c>
      <c r="N827" s="1" t="s">
        <v>117</v>
      </c>
      <c r="O827" s="1" t="s">
        <v>78</v>
      </c>
    </row>
    <row r="828" spans="1:15" ht="18.95" customHeight="1" x14ac:dyDescent="0.25">
      <c r="A828" s="1" t="s">
        <v>1063</v>
      </c>
      <c r="B828" s="30">
        <v>45974.5</v>
      </c>
      <c r="C828" s="1" t="s">
        <v>1064</v>
      </c>
      <c r="D828" s="1" t="s">
        <v>1065</v>
      </c>
      <c r="E828" s="1" t="s">
        <v>193</v>
      </c>
      <c r="F828" s="1" t="s">
        <v>194</v>
      </c>
      <c r="G828" s="1" t="s">
        <v>188</v>
      </c>
      <c r="H828" s="1" t="s">
        <v>76</v>
      </c>
      <c r="I828" s="31">
        <v>1</v>
      </c>
      <c r="J828" s="32">
        <v>86.69</v>
      </c>
      <c r="K828" s="32">
        <v>86.69</v>
      </c>
      <c r="L828" s="32">
        <v>63.01</v>
      </c>
      <c r="M828" s="32">
        <v>23.68</v>
      </c>
      <c r="N828" s="1" t="s">
        <v>315</v>
      </c>
      <c r="O828" s="1" t="s">
        <v>112</v>
      </c>
    </row>
    <row r="829" spans="1:15" ht="18.95" customHeight="1" x14ac:dyDescent="0.25">
      <c r="A829" s="1" t="s">
        <v>1063</v>
      </c>
      <c r="B829" s="30">
        <v>45974.5</v>
      </c>
      <c r="C829" s="1" t="s">
        <v>1064</v>
      </c>
      <c r="D829" s="1" t="s">
        <v>1065</v>
      </c>
      <c r="E829" s="1" t="s">
        <v>193</v>
      </c>
      <c r="F829" s="1" t="s">
        <v>194</v>
      </c>
      <c r="G829" s="1" t="s">
        <v>75</v>
      </c>
      <c r="H829" s="1" t="s">
        <v>76</v>
      </c>
      <c r="I829" s="31">
        <v>1</v>
      </c>
      <c r="J829" s="32">
        <v>27.53</v>
      </c>
      <c r="K829" s="32">
        <v>27.53</v>
      </c>
      <c r="L829" s="32">
        <v>15.35</v>
      </c>
      <c r="M829" s="32">
        <v>12.18</v>
      </c>
      <c r="N829" s="1" t="s">
        <v>315</v>
      </c>
      <c r="O829" s="1" t="s">
        <v>112</v>
      </c>
    </row>
    <row r="830" spans="1:15" ht="18.95" customHeight="1" x14ac:dyDescent="0.25">
      <c r="A830" s="1" t="s">
        <v>1066</v>
      </c>
      <c r="B830" s="30">
        <v>45974.5</v>
      </c>
      <c r="C830" s="1" t="s">
        <v>557</v>
      </c>
      <c r="D830" s="1" t="s">
        <v>558</v>
      </c>
      <c r="E830" s="1" t="s">
        <v>174</v>
      </c>
      <c r="F830" s="1" t="s">
        <v>175</v>
      </c>
      <c r="G830" s="1" t="s">
        <v>322</v>
      </c>
      <c r="H830" s="1" t="s">
        <v>128</v>
      </c>
      <c r="I830" s="31">
        <v>3</v>
      </c>
      <c r="J830" s="32">
        <v>55.07</v>
      </c>
      <c r="K830" s="32">
        <v>165.21</v>
      </c>
      <c r="L830" s="32">
        <v>128.30000000000001</v>
      </c>
      <c r="M830" s="32">
        <v>36.909999999999997</v>
      </c>
      <c r="N830" s="1" t="s">
        <v>86</v>
      </c>
      <c r="O830" s="1" t="s">
        <v>112</v>
      </c>
    </row>
    <row r="831" spans="1:15" ht="18.95" customHeight="1" x14ac:dyDescent="0.25">
      <c r="A831" s="1" t="s">
        <v>1067</v>
      </c>
      <c r="B831" s="30">
        <v>45974.5</v>
      </c>
      <c r="C831" s="1" t="s">
        <v>765</v>
      </c>
      <c r="D831" s="1" t="s">
        <v>766</v>
      </c>
      <c r="E831" s="1" t="s">
        <v>74</v>
      </c>
      <c r="F831" s="1" t="s">
        <v>74</v>
      </c>
      <c r="G831" s="1" t="s">
        <v>84</v>
      </c>
      <c r="H831" s="1" t="s">
        <v>85</v>
      </c>
      <c r="I831" s="31">
        <v>3</v>
      </c>
      <c r="J831" s="32">
        <v>7.34</v>
      </c>
      <c r="K831" s="32">
        <v>22.02</v>
      </c>
      <c r="L831" s="32">
        <v>11.89</v>
      </c>
      <c r="M831" s="32">
        <v>10.130000000000001</v>
      </c>
      <c r="N831" s="1" t="s">
        <v>111</v>
      </c>
      <c r="O831" s="1" t="s">
        <v>78</v>
      </c>
    </row>
    <row r="832" spans="1:15" ht="18.95" customHeight="1" x14ac:dyDescent="0.25">
      <c r="A832" s="1" t="s">
        <v>1068</v>
      </c>
      <c r="B832" s="30">
        <v>45975.5</v>
      </c>
      <c r="C832" s="1" t="s">
        <v>694</v>
      </c>
      <c r="D832" s="1" t="s">
        <v>695</v>
      </c>
      <c r="E832" s="1" t="s">
        <v>150</v>
      </c>
      <c r="F832" s="1" t="s">
        <v>105</v>
      </c>
      <c r="G832" s="1" t="s">
        <v>98</v>
      </c>
      <c r="H832" s="1" t="s">
        <v>99</v>
      </c>
      <c r="I832" s="31">
        <v>1</v>
      </c>
      <c r="J832" s="32">
        <v>30.59</v>
      </c>
      <c r="K832" s="32">
        <v>30.59</v>
      </c>
      <c r="L832" s="32">
        <v>16.600000000000001</v>
      </c>
      <c r="M832" s="32">
        <v>13.99</v>
      </c>
      <c r="N832" s="1" t="s">
        <v>117</v>
      </c>
      <c r="O832" s="1" t="s">
        <v>78</v>
      </c>
    </row>
    <row r="833" spans="1:15" ht="18.95" customHeight="1" x14ac:dyDescent="0.25">
      <c r="A833" s="1" t="s">
        <v>1068</v>
      </c>
      <c r="B833" s="30">
        <v>45975.5</v>
      </c>
      <c r="C833" s="1" t="s">
        <v>694</v>
      </c>
      <c r="D833" s="1" t="s">
        <v>695</v>
      </c>
      <c r="E833" s="1" t="s">
        <v>150</v>
      </c>
      <c r="F833" s="1" t="s">
        <v>105</v>
      </c>
      <c r="G833" s="1" t="s">
        <v>293</v>
      </c>
      <c r="H833" s="1" t="s">
        <v>99</v>
      </c>
      <c r="I833" s="31">
        <v>1</v>
      </c>
      <c r="J833" s="32">
        <v>106.58</v>
      </c>
      <c r="K833" s="32">
        <v>106.58</v>
      </c>
      <c r="L833" s="32">
        <v>81.78</v>
      </c>
      <c r="M833" s="32">
        <v>24.8</v>
      </c>
      <c r="N833" s="1" t="s">
        <v>117</v>
      </c>
      <c r="O833" s="1" t="s">
        <v>78</v>
      </c>
    </row>
    <row r="834" spans="1:15" ht="18.95" customHeight="1" x14ac:dyDescent="0.25">
      <c r="A834" s="1" t="s">
        <v>1069</v>
      </c>
      <c r="B834" s="30">
        <v>45977.5</v>
      </c>
      <c r="C834" s="1" t="s">
        <v>1009</v>
      </c>
      <c r="D834" s="1" t="s">
        <v>1010</v>
      </c>
      <c r="E834" s="1" t="s">
        <v>74</v>
      </c>
      <c r="F834" s="1" t="s">
        <v>74</v>
      </c>
      <c r="G834" s="1" t="s">
        <v>195</v>
      </c>
      <c r="H834" s="1" t="s">
        <v>128</v>
      </c>
      <c r="I834" s="31">
        <v>1</v>
      </c>
      <c r="J834" s="32">
        <v>142.79</v>
      </c>
      <c r="K834" s="32">
        <v>142.79</v>
      </c>
      <c r="L834" s="32">
        <v>108.74</v>
      </c>
      <c r="M834" s="32">
        <v>34.049999999999997</v>
      </c>
      <c r="N834" s="1" t="s">
        <v>100</v>
      </c>
      <c r="O834" s="1" t="s">
        <v>78</v>
      </c>
    </row>
    <row r="835" spans="1:15" ht="18.95" customHeight="1" x14ac:dyDescent="0.25">
      <c r="A835" s="1" t="s">
        <v>1070</v>
      </c>
      <c r="B835" s="30">
        <v>45977.5</v>
      </c>
      <c r="C835" s="1" t="s">
        <v>759</v>
      </c>
      <c r="D835" s="1" t="s">
        <v>760</v>
      </c>
      <c r="E835" s="1" t="s">
        <v>74</v>
      </c>
      <c r="F835" s="1" t="s">
        <v>74</v>
      </c>
      <c r="G835" s="1" t="s">
        <v>213</v>
      </c>
      <c r="H835" s="1" t="s">
        <v>93</v>
      </c>
      <c r="I835" s="31">
        <v>2</v>
      </c>
      <c r="J835" s="32">
        <v>30.28</v>
      </c>
      <c r="K835" s="32">
        <v>60.56</v>
      </c>
      <c r="L835" s="32">
        <v>37.49</v>
      </c>
      <c r="M835" s="32">
        <v>23.07</v>
      </c>
      <c r="N835" s="1" t="s">
        <v>117</v>
      </c>
      <c r="O835" s="1" t="s">
        <v>78</v>
      </c>
    </row>
    <row r="836" spans="1:15" ht="18.95" customHeight="1" x14ac:dyDescent="0.25">
      <c r="A836" s="1" t="s">
        <v>1070</v>
      </c>
      <c r="B836" s="30">
        <v>45977.5</v>
      </c>
      <c r="C836" s="1" t="s">
        <v>759</v>
      </c>
      <c r="D836" s="1" t="s">
        <v>760</v>
      </c>
      <c r="E836" s="1" t="s">
        <v>74</v>
      </c>
      <c r="F836" s="1" t="s">
        <v>74</v>
      </c>
      <c r="G836" s="1" t="s">
        <v>132</v>
      </c>
      <c r="H836" s="1" t="s">
        <v>99</v>
      </c>
      <c r="I836" s="31">
        <v>1</v>
      </c>
      <c r="J836" s="32">
        <v>87.2</v>
      </c>
      <c r="K836" s="32">
        <v>87.2</v>
      </c>
      <c r="L836" s="32">
        <v>65.08</v>
      </c>
      <c r="M836" s="32">
        <v>22.12</v>
      </c>
      <c r="N836" s="1" t="s">
        <v>117</v>
      </c>
      <c r="O836" s="1" t="s">
        <v>78</v>
      </c>
    </row>
    <row r="837" spans="1:15" ht="18.95" customHeight="1" x14ac:dyDescent="0.25">
      <c r="A837" s="1" t="s">
        <v>1071</v>
      </c>
      <c r="B837" s="30">
        <v>45978.5</v>
      </c>
      <c r="C837" s="1" t="s">
        <v>228</v>
      </c>
      <c r="D837" s="1" t="s">
        <v>229</v>
      </c>
      <c r="E837" s="1" t="s">
        <v>212</v>
      </c>
      <c r="F837" s="1" t="s">
        <v>83</v>
      </c>
      <c r="G837" s="1" t="s">
        <v>319</v>
      </c>
      <c r="H837" s="1" t="s">
        <v>128</v>
      </c>
      <c r="I837" s="31">
        <v>1</v>
      </c>
      <c r="J837" s="32">
        <v>44.87</v>
      </c>
      <c r="K837" s="32">
        <v>44.87</v>
      </c>
      <c r="L837" s="32">
        <v>35.96</v>
      </c>
      <c r="M837" s="32">
        <v>8.91</v>
      </c>
      <c r="N837" s="1" t="s">
        <v>117</v>
      </c>
      <c r="O837" s="1" t="s">
        <v>78</v>
      </c>
    </row>
    <row r="838" spans="1:15" ht="18.95" customHeight="1" x14ac:dyDescent="0.25">
      <c r="A838" s="1" t="s">
        <v>1072</v>
      </c>
      <c r="B838" s="30">
        <v>45980.5</v>
      </c>
      <c r="C838" s="1" t="s">
        <v>417</v>
      </c>
      <c r="D838" s="1" t="s">
        <v>418</v>
      </c>
      <c r="E838" s="1" t="s">
        <v>82</v>
      </c>
      <c r="F838" s="1" t="s">
        <v>83</v>
      </c>
      <c r="G838" s="1" t="s">
        <v>138</v>
      </c>
      <c r="H838" s="1" t="s">
        <v>99</v>
      </c>
      <c r="I838" s="31">
        <v>2</v>
      </c>
      <c r="J838" s="32">
        <v>35.69</v>
      </c>
      <c r="K838" s="32">
        <v>71.38</v>
      </c>
      <c r="L838" s="32">
        <v>44.41</v>
      </c>
      <c r="M838" s="32">
        <v>26.97</v>
      </c>
      <c r="N838" s="1" t="s">
        <v>86</v>
      </c>
      <c r="O838" s="1" t="s">
        <v>78</v>
      </c>
    </row>
    <row r="839" spans="1:15" ht="18.95" customHeight="1" x14ac:dyDescent="0.25">
      <c r="A839" s="1" t="s">
        <v>1073</v>
      </c>
      <c r="B839" s="30">
        <v>45981.5</v>
      </c>
      <c r="C839" s="1" t="s">
        <v>245</v>
      </c>
      <c r="D839" s="1" t="s">
        <v>246</v>
      </c>
      <c r="E839" s="1" t="s">
        <v>104</v>
      </c>
      <c r="F839" s="1" t="s">
        <v>105</v>
      </c>
      <c r="G839" s="1" t="s">
        <v>179</v>
      </c>
      <c r="H839" s="1" t="s">
        <v>128</v>
      </c>
      <c r="I839" s="31">
        <v>1</v>
      </c>
      <c r="J839" s="32">
        <v>40.79</v>
      </c>
      <c r="K839" s="32">
        <v>40.79</v>
      </c>
      <c r="L839" s="32">
        <v>24.37</v>
      </c>
      <c r="M839" s="32">
        <v>16.420000000000002</v>
      </c>
      <c r="N839" s="1" t="s">
        <v>117</v>
      </c>
      <c r="O839" s="1" t="s">
        <v>112</v>
      </c>
    </row>
    <row r="840" spans="1:15" ht="18.95" customHeight="1" x14ac:dyDescent="0.25">
      <c r="A840" s="1" t="s">
        <v>1074</v>
      </c>
      <c r="B840" s="30">
        <v>45982.5</v>
      </c>
      <c r="C840" s="1" t="s">
        <v>159</v>
      </c>
      <c r="D840" s="1" t="s">
        <v>160</v>
      </c>
      <c r="E840" s="1" t="s">
        <v>150</v>
      </c>
      <c r="F840" s="1" t="s">
        <v>105</v>
      </c>
      <c r="G840" s="1" t="s">
        <v>139</v>
      </c>
      <c r="H840" s="1" t="s">
        <v>128</v>
      </c>
      <c r="I840" s="31">
        <v>2</v>
      </c>
      <c r="J840" s="32">
        <v>57.11</v>
      </c>
      <c r="K840" s="32">
        <v>114.22</v>
      </c>
      <c r="L840" s="32">
        <v>92.95</v>
      </c>
      <c r="M840" s="32">
        <v>21.27</v>
      </c>
      <c r="N840" s="1" t="s">
        <v>77</v>
      </c>
      <c r="O840" s="1" t="s">
        <v>78</v>
      </c>
    </row>
    <row r="841" spans="1:15" ht="18.95" customHeight="1" x14ac:dyDescent="0.25">
      <c r="A841" s="1" t="s">
        <v>1075</v>
      </c>
      <c r="B841" s="30">
        <v>45983.5</v>
      </c>
      <c r="C841" s="1" t="s">
        <v>417</v>
      </c>
      <c r="D841" s="1" t="s">
        <v>418</v>
      </c>
      <c r="E841" s="1" t="s">
        <v>82</v>
      </c>
      <c r="F841" s="1" t="s">
        <v>83</v>
      </c>
      <c r="G841" s="1" t="s">
        <v>202</v>
      </c>
      <c r="H841" s="1" t="s">
        <v>85</v>
      </c>
      <c r="I841" s="31">
        <v>2</v>
      </c>
      <c r="J841" s="32">
        <v>8.15</v>
      </c>
      <c r="K841" s="32">
        <v>16.3</v>
      </c>
      <c r="L841" s="32">
        <v>8.68</v>
      </c>
      <c r="M841" s="32">
        <v>7.62</v>
      </c>
      <c r="N841" s="1" t="s">
        <v>111</v>
      </c>
      <c r="O841" s="1" t="s">
        <v>78</v>
      </c>
    </row>
    <row r="842" spans="1:15" ht="18.95" customHeight="1" x14ac:dyDescent="0.25">
      <c r="A842" s="1" t="s">
        <v>1075</v>
      </c>
      <c r="B842" s="30">
        <v>45983.5</v>
      </c>
      <c r="C842" s="1" t="s">
        <v>417</v>
      </c>
      <c r="D842" s="1" t="s">
        <v>418</v>
      </c>
      <c r="E842" s="1" t="s">
        <v>82</v>
      </c>
      <c r="F842" s="1" t="s">
        <v>83</v>
      </c>
      <c r="G842" s="1" t="s">
        <v>188</v>
      </c>
      <c r="H842" s="1" t="s">
        <v>76</v>
      </c>
      <c r="I842" s="31">
        <v>2</v>
      </c>
      <c r="J842" s="32">
        <v>86.69</v>
      </c>
      <c r="K842" s="32">
        <v>173.38</v>
      </c>
      <c r="L842" s="32">
        <v>121.68</v>
      </c>
      <c r="M842" s="32">
        <v>51.7</v>
      </c>
      <c r="N842" s="1" t="s">
        <v>111</v>
      </c>
      <c r="O842" s="1" t="s">
        <v>78</v>
      </c>
    </row>
    <row r="843" spans="1:15" ht="18.95" customHeight="1" x14ac:dyDescent="0.25">
      <c r="A843" s="1" t="s">
        <v>1076</v>
      </c>
      <c r="B843" s="30">
        <v>45983.5</v>
      </c>
      <c r="C843" s="1" t="s">
        <v>508</v>
      </c>
      <c r="D843" s="1" t="s">
        <v>509</v>
      </c>
      <c r="E843" s="1" t="s">
        <v>150</v>
      </c>
      <c r="F843" s="1" t="s">
        <v>105</v>
      </c>
      <c r="G843" s="1" t="s">
        <v>319</v>
      </c>
      <c r="H843" s="1" t="s">
        <v>128</v>
      </c>
      <c r="I843" s="31">
        <v>2</v>
      </c>
      <c r="J843" s="32">
        <v>44.87</v>
      </c>
      <c r="K843" s="32">
        <v>89.74</v>
      </c>
      <c r="L843" s="32">
        <v>71.91</v>
      </c>
      <c r="M843" s="32">
        <v>17.829999999999998</v>
      </c>
      <c r="N843" s="1" t="s">
        <v>86</v>
      </c>
      <c r="O843" s="1" t="s">
        <v>78</v>
      </c>
    </row>
    <row r="844" spans="1:15" ht="18.95" customHeight="1" x14ac:dyDescent="0.25">
      <c r="A844" s="1" t="s">
        <v>1077</v>
      </c>
      <c r="B844" s="30">
        <v>45985.5</v>
      </c>
      <c r="C844" s="1" t="s">
        <v>407</v>
      </c>
      <c r="D844" s="1" t="s">
        <v>408</v>
      </c>
      <c r="E844" s="1" t="s">
        <v>97</v>
      </c>
      <c r="F844" s="1" t="s">
        <v>91</v>
      </c>
      <c r="G844" s="1" t="s">
        <v>202</v>
      </c>
      <c r="H844" s="1" t="s">
        <v>85</v>
      </c>
      <c r="I844" s="31">
        <v>3</v>
      </c>
      <c r="J844" s="32">
        <v>7.74</v>
      </c>
      <c r="K844" s="32">
        <v>23.22</v>
      </c>
      <c r="L844" s="32">
        <v>12.96</v>
      </c>
      <c r="M844" s="32">
        <v>10.26</v>
      </c>
      <c r="N844" s="1" t="s">
        <v>77</v>
      </c>
      <c r="O844" s="1" t="s">
        <v>78</v>
      </c>
    </row>
    <row r="845" spans="1:15" ht="18.95" customHeight="1" x14ac:dyDescent="0.25">
      <c r="A845" s="1" t="s">
        <v>1077</v>
      </c>
      <c r="B845" s="30">
        <v>45985.5</v>
      </c>
      <c r="C845" s="1" t="s">
        <v>407</v>
      </c>
      <c r="D845" s="1" t="s">
        <v>408</v>
      </c>
      <c r="E845" s="1" t="s">
        <v>97</v>
      </c>
      <c r="F845" s="1" t="s">
        <v>91</v>
      </c>
      <c r="G845" s="1" t="s">
        <v>139</v>
      </c>
      <c r="H845" s="1" t="s">
        <v>128</v>
      </c>
      <c r="I845" s="31">
        <v>2</v>
      </c>
      <c r="J845" s="32">
        <v>71.39</v>
      </c>
      <c r="K845" s="32">
        <v>142.78</v>
      </c>
      <c r="L845" s="32">
        <v>94.52</v>
      </c>
      <c r="M845" s="32">
        <v>48.26</v>
      </c>
      <c r="N845" s="1" t="s">
        <v>77</v>
      </c>
      <c r="O845" s="1" t="s">
        <v>78</v>
      </c>
    </row>
    <row r="846" spans="1:15" ht="18.95" customHeight="1" x14ac:dyDescent="0.25">
      <c r="A846" s="1" t="s">
        <v>1078</v>
      </c>
      <c r="B846" s="30">
        <v>45986.5</v>
      </c>
      <c r="C846" s="1" t="s">
        <v>579</v>
      </c>
      <c r="D846" s="1" t="s">
        <v>580</v>
      </c>
      <c r="E846" s="1" t="s">
        <v>330</v>
      </c>
      <c r="F846" s="1" t="s">
        <v>238</v>
      </c>
      <c r="G846" s="1" t="s">
        <v>132</v>
      </c>
      <c r="H846" s="1" t="s">
        <v>99</v>
      </c>
      <c r="I846" s="31">
        <v>2</v>
      </c>
      <c r="J846" s="32">
        <v>82.61</v>
      </c>
      <c r="K846" s="32">
        <v>165.22</v>
      </c>
      <c r="L846" s="32">
        <v>129.66</v>
      </c>
      <c r="M846" s="32">
        <v>35.56</v>
      </c>
      <c r="N846" s="1" t="s">
        <v>77</v>
      </c>
      <c r="O846" s="1" t="s">
        <v>78</v>
      </c>
    </row>
    <row r="847" spans="1:15" ht="18.95" customHeight="1" x14ac:dyDescent="0.25">
      <c r="A847" s="1" t="s">
        <v>1079</v>
      </c>
      <c r="B847" s="30">
        <v>45986.5</v>
      </c>
      <c r="C847" s="1" t="s">
        <v>1080</v>
      </c>
      <c r="D847" s="1" t="s">
        <v>1081</v>
      </c>
      <c r="E847" s="1" t="s">
        <v>90</v>
      </c>
      <c r="F847" s="1" t="s">
        <v>91</v>
      </c>
      <c r="G847" s="1" t="s">
        <v>138</v>
      </c>
      <c r="H847" s="1" t="s">
        <v>99</v>
      </c>
      <c r="I847" s="31">
        <v>4</v>
      </c>
      <c r="J847" s="32">
        <v>28.55</v>
      </c>
      <c r="K847" s="32">
        <v>114.2</v>
      </c>
      <c r="L847" s="32">
        <v>87.25</v>
      </c>
      <c r="M847" s="32">
        <v>26.95</v>
      </c>
      <c r="N847" s="1" t="s">
        <v>86</v>
      </c>
      <c r="O847" s="1" t="s">
        <v>78</v>
      </c>
    </row>
    <row r="848" spans="1:15" ht="18.95" customHeight="1" x14ac:dyDescent="0.25">
      <c r="A848" s="1" t="s">
        <v>1082</v>
      </c>
      <c r="B848" s="30">
        <v>45988.5</v>
      </c>
      <c r="C848" s="1" t="s">
        <v>344</v>
      </c>
      <c r="D848" s="1" t="s">
        <v>345</v>
      </c>
      <c r="E848" s="1" t="s">
        <v>74</v>
      </c>
      <c r="F848" s="1" t="s">
        <v>74</v>
      </c>
      <c r="G848" s="1" t="s">
        <v>293</v>
      </c>
      <c r="H848" s="1" t="s">
        <v>99</v>
      </c>
      <c r="I848" s="31">
        <v>1</v>
      </c>
      <c r="J848" s="32">
        <v>106.58</v>
      </c>
      <c r="K848" s="32">
        <v>106.58</v>
      </c>
      <c r="L848" s="32">
        <v>81.78</v>
      </c>
      <c r="M848" s="32">
        <v>24.8</v>
      </c>
      <c r="N848" s="1" t="s">
        <v>77</v>
      </c>
      <c r="O848" s="1" t="s">
        <v>78</v>
      </c>
    </row>
    <row r="849" spans="1:15" ht="18.95" customHeight="1" x14ac:dyDescent="0.25">
      <c r="A849" s="1" t="s">
        <v>1083</v>
      </c>
      <c r="B849" s="30">
        <v>45989.5</v>
      </c>
      <c r="C849" s="1" t="s">
        <v>102</v>
      </c>
      <c r="D849" s="1" t="s">
        <v>103</v>
      </c>
      <c r="E849" s="1" t="s">
        <v>104</v>
      </c>
      <c r="F849" s="1" t="s">
        <v>105</v>
      </c>
      <c r="G849" s="1" t="s">
        <v>226</v>
      </c>
      <c r="H849" s="1" t="s">
        <v>85</v>
      </c>
      <c r="I849" s="31">
        <v>1</v>
      </c>
      <c r="J849" s="32">
        <v>76.489999999999995</v>
      </c>
      <c r="K849" s="32">
        <v>76.489999999999995</v>
      </c>
      <c r="L849" s="32">
        <v>52.16</v>
      </c>
      <c r="M849" s="32">
        <v>24.33</v>
      </c>
      <c r="N849" s="1" t="s">
        <v>117</v>
      </c>
      <c r="O849" s="1" t="s">
        <v>233</v>
      </c>
    </row>
    <row r="850" spans="1:15" ht="18.95" customHeight="1" x14ac:dyDescent="0.25">
      <c r="A850" s="1" t="s">
        <v>1084</v>
      </c>
      <c r="B850" s="30">
        <v>45989.5</v>
      </c>
      <c r="C850" s="1" t="s">
        <v>254</v>
      </c>
      <c r="D850" s="1" t="s">
        <v>255</v>
      </c>
      <c r="E850" s="1" t="s">
        <v>90</v>
      </c>
      <c r="F850" s="1" t="s">
        <v>91</v>
      </c>
      <c r="G850" s="1" t="s">
        <v>157</v>
      </c>
      <c r="H850" s="1" t="s">
        <v>93</v>
      </c>
      <c r="I850" s="31">
        <v>1</v>
      </c>
      <c r="J850" s="32">
        <v>20.39</v>
      </c>
      <c r="K850" s="32">
        <v>20.39</v>
      </c>
      <c r="L850" s="32">
        <v>10.25</v>
      </c>
      <c r="M850" s="32">
        <v>10.14</v>
      </c>
      <c r="N850" s="1" t="s">
        <v>117</v>
      </c>
      <c r="O850" s="1" t="s">
        <v>233</v>
      </c>
    </row>
    <row r="851" spans="1:15" ht="18.95" customHeight="1" x14ac:dyDescent="0.25">
      <c r="A851" s="1" t="s">
        <v>1084</v>
      </c>
      <c r="B851" s="30">
        <v>45989.5</v>
      </c>
      <c r="C851" s="1" t="s">
        <v>254</v>
      </c>
      <c r="D851" s="1" t="s">
        <v>255</v>
      </c>
      <c r="E851" s="1" t="s">
        <v>90</v>
      </c>
      <c r="F851" s="1" t="s">
        <v>91</v>
      </c>
      <c r="G851" s="1" t="s">
        <v>116</v>
      </c>
      <c r="H851" s="1" t="s">
        <v>76</v>
      </c>
      <c r="I851" s="31">
        <v>1</v>
      </c>
      <c r="J851" s="32">
        <v>15.29</v>
      </c>
      <c r="K851" s="32">
        <v>15.29</v>
      </c>
      <c r="L851" s="32">
        <v>7.08</v>
      </c>
      <c r="M851" s="32">
        <v>8.2100000000000009</v>
      </c>
      <c r="N851" s="1" t="s">
        <v>117</v>
      </c>
      <c r="O851" s="1" t="s">
        <v>233</v>
      </c>
    </row>
    <row r="852" spans="1:15" ht="18.95" customHeight="1" x14ac:dyDescent="0.25">
      <c r="A852" s="1" t="s">
        <v>1085</v>
      </c>
      <c r="B852" s="30">
        <v>45990.5</v>
      </c>
      <c r="C852" s="1" t="s">
        <v>335</v>
      </c>
      <c r="D852" s="1" t="s">
        <v>336</v>
      </c>
      <c r="E852" s="1" t="s">
        <v>90</v>
      </c>
      <c r="F852" s="1" t="s">
        <v>91</v>
      </c>
      <c r="G852" s="1" t="s">
        <v>84</v>
      </c>
      <c r="H852" s="1" t="s">
        <v>85</v>
      </c>
      <c r="I852" s="31">
        <v>1</v>
      </c>
      <c r="J852" s="32">
        <v>9.17</v>
      </c>
      <c r="K852" s="32">
        <v>9.17</v>
      </c>
      <c r="L852" s="32">
        <v>4.29</v>
      </c>
      <c r="M852" s="32">
        <v>4.88</v>
      </c>
      <c r="N852" s="1" t="s">
        <v>86</v>
      </c>
      <c r="O852" s="1" t="s">
        <v>112</v>
      </c>
    </row>
    <row r="853" spans="1:15" ht="18.95" customHeight="1" x14ac:dyDescent="0.25">
      <c r="A853" s="1" t="s">
        <v>1086</v>
      </c>
      <c r="B853" s="30">
        <v>45992.5</v>
      </c>
      <c r="C853" s="1" t="s">
        <v>296</v>
      </c>
      <c r="D853" s="1" t="s">
        <v>297</v>
      </c>
      <c r="E853" s="1" t="s">
        <v>174</v>
      </c>
      <c r="F853" s="1" t="s">
        <v>175</v>
      </c>
      <c r="G853" s="1" t="s">
        <v>306</v>
      </c>
      <c r="H853" s="1" t="s">
        <v>76</v>
      </c>
      <c r="I853" s="31">
        <v>3</v>
      </c>
      <c r="J853" s="32">
        <v>25.49</v>
      </c>
      <c r="K853" s="32">
        <v>76.47</v>
      </c>
      <c r="L853" s="32">
        <v>39.21</v>
      </c>
      <c r="M853" s="32">
        <v>37.26</v>
      </c>
      <c r="N853" s="1" t="s">
        <v>77</v>
      </c>
      <c r="O853" s="1" t="s">
        <v>78</v>
      </c>
    </row>
    <row r="854" spans="1:15" ht="18.95" customHeight="1" x14ac:dyDescent="0.25">
      <c r="A854" s="1" t="s">
        <v>1087</v>
      </c>
      <c r="B854" s="30">
        <v>45992.5</v>
      </c>
      <c r="C854" s="1" t="s">
        <v>658</v>
      </c>
      <c r="D854" s="1" t="s">
        <v>659</v>
      </c>
      <c r="E854" s="1" t="s">
        <v>90</v>
      </c>
      <c r="F854" s="1" t="s">
        <v>91</v>
      </c>
      <c r="G854" s="1" t="s">
        <v>188</v>
      </c>
      <c r="H854" s="1" t="s">
        <v>76</v>
      </c>
      <c r="I854" s="31">
        <v>3</v>
      </c>
      <c r="J854" s="32">
        <v>69.349999999999994</v>
      </c>
      <c r="K854" s="32">
        <v>208.05</v>
      </c>
      <c r="L854" s="32">
        <v>184.86</v>
      </c>
      <c r="M854" s="32">
        <v>23.19</v>
      </c>
      <c r="N854" s="1" t="s">
        <v>117</v>
      </c>
      <c r="O854" s="1" t="s">
        <v>112</v>
      </c>
    </row>
    <row r="855" spans="1:15" ht="18.95" customHeight="1" x14ac:dyDescent="0.25">
      <c r="A855" s="1" t="s">
        <v>1087</v>
      </c>
      <c r="B855" s="30">
        <v>45992.5</v>
      </c>
      <c r="C855" s="1" t="s">
        <v>658</v>
      </c>
      <c r="D855" s="1" t="s">
        <v>659</v>
      </c>
      <c r="E855" s="1" t="s">
        <v>90</v>
      </c>
      <c r="F855" s="1" t="s">
        <v>91</v>
      </c>
      <c r="G855" s="1" t="s">
        <v>127</v>
      </c>
      <c r="H855" s="1" t="s">
        <v>128</v>
      </c>
      <c r="I855" s="31">
        <v>4</v>
      </c>
      <c r="J855" s="32">
        <v>24.22</v>
      </c>
      <c r="K855" s="32">
        <v>96.88</v>
      </c>
      <c r="L855" s="32">
        <v>63.55</v>
      </c>
      <c r="M855" s="32">
        <v>33.33</v>
      </c>
      <c r="N855" s="1" t="s">
        <v>117</v>
      </c>
      <c r="O855" s="1" t="s">
        <v>112</v>
      </c>
    </row>
    <row r="856" spans="1:15" ht="18.95" customHeight="1" x14ac:dyDescent="0.25">
      <c r="A856" s="1" t="s">
        <v>1088</v>
      </c>
      <c r="B856" s="30">
        <v>45994.5</v>
      </c>
      <c r="C856" s="1" t="s">
        <v>467</v>
      </c>
      <c r="D856" s="1" t="s">
        <v>468</v>
      </c>
      <c r="E856" s="1" t="s">
        <v>90</v>
      </c>
      <c r="F856" s="1" t="s">
        <v>91</v>
      </c>
      <c r="G856" s="1" t="s">
        <v>143</v>
      </c>
      <c r="H856" s="1" t="s">
        <v>128</v>
      </c>
      <c r="I856" s="31">
        <v>3</v>
      </c>
      <c r="J856" s="32">
        <v>87.2</v>
      </c>
      <c r="K856" s="32">
        <v>261.60000000000002</v>
      </c>
      <c r="L856" s="32">
        <v>225.26</v>
      </c>
      <c r="M856" s="32">
        <v>36.340000000000003</v>
      </c>
      <c r="N856" s="1" t="s">
        <v>117</v>
      </c>
      <c r="O856" s="1" t="s">
        <v>233</v>
      </c>
    </row>
    <row r="857" spans="1:15" ht="18.95" customHeight="1" x14ac:dyDescent="0.25">
      <c r="A857" s="1" t="s">
        <v>1089</v>
      </c>
      <c r="B857" s="30">
        <v>45994.5</v>
      </c>
      <c r="C857" s="1" t="s">
        <v>866</v>
      </c>
      <c r="D857" s="1" t="s">
        <v>867</v>
      </c>
      <c r="E857" s="1" t="s">
        <v>97</v>
      </c>
      <c r="F857" s="1" t="s">
        <v>91</v>
      </c>
      <c r="G857" s="1" t="s">
        <v>139</v>
      </c>
      <c r="H857" s="1" t="s">
        <v>128</v>
      </c>
      <c r="I857" s="31">
        <v>1</v>
      </c>
      <c r="J857" s="32">
        <v>71.39</v>
      </c>
      <c r="K857" s="32">
        <v>71.39</v>
      </c>
      <c r="L857" s="32">
        <v>47.26</v>
      </c>
      <c r="M857" s="32">
        <v>24.13</v>
      </c>
      <c r="N857" s="1" t="s">
        <v>117</v>
      </c>
      <c r="O857" s="1" t="s">
        <v>78</v>
      </c>
    </row>
    <row r="858" spans="1:15" ht="18.95" customHeight="1" x14ac:dyDescent="0.25">
      <c r="A858" s="1" t="s">
        <v>1090</v>
      </c>
      <c r="B858" s="30">
        <v>45996.5</v>
      </c>
      <c r="C858" s="1" t="s">
        <v>145</v>
      </c>
      <c r="D858" s="1" t="s">
        <v>146</v>
      </c>
      <c r="E858" s="1" t="s">
        <v>74</v>
      </c>
      <c r="F858" s="1" t="s">
        <v>74</v>
      </c>
      <c r="G858" s="1" t="s">
        <v>226</v>
      </c>
      <c r="H858" s="1" t="s">
        <v>85</v>
      </c>
      <c r="I858" s="31">
        <v>1</v>
      </c>
      <c r="J858" s="32">
        <v>61.19</v>
      </c>
      <c r="K858" s="32">
        <v>61.19</v>
      </c>
      <c r="L858" s="32">
        <v>54.53</v>
      </c>
      <c r="M858" s="32">
        <v>6.66</v>
      </c>
      <c r="N858" s="1" t="s">
        <v>77</v>
      </c>
      <c r="O858" s="1" t="s">
        <v>118</v>
      </c>
    </row>
    <row r="859" spans="1:15" ht="18.95" customHeight="1" x14ac:dyDescent="0.25">
      <c r="A859" s="1" t="s">
        <v>1091</v>
      </c>
      <c r="B859" s="30">
        <v>45996.5</v>
      </c>
      <c r="C859" s="1" t="s">
        <v>347</v>
      </c>
      <c r="D859" s="1" t="s">
        <v>348</v>
      </c>
      <c r="E859" s="1" t="s">
        <v>330</v>
      </c>
      <c r="F859" s="1" t="s">
        <v>238</v>
      </c>
      <c r="G859" s="1" t="s">
        <v>230</v>
      </c>
      <c r="H859" s="1" t="s">
        <v>128</v>
      </c>
      <c r="I859" s="31">
        <v>1</v>
      </c>
      <c r="J859" s="32">
        <v>45.89</v>
      </c>
      <c r="K859" s="32">
        <v>45.89</v>
      </c>
      <c r="L859" s="32">
        <v>31.99</v>
      </c>
      <c r="M859" s="32">
        <v>13.9</v>
      </c>
      <c r="N859" s="1" t="s">
        <v>86</v>
      </c>
      <c r="O859" s="1" t="s">
        <v>118</v>
      </c>
    </row>
    <row r="860" spans="1:15" ht="18.95" customHeight="1" x14ac:dyDescent="0.25">
      <c r="A860" s="1" t="s">
        <v>1092</v>
      </c>
      <c r="B860" s="30">
        <v>45996.5</v>
      </c>
      <c r="C860" s="1" t="s">
        <v>945</v>
      </c>
      <c r="D860" s="1" t="s">
        <v>946</v>
      </c>
      <c r="E860" s="1" t="s">
        <v>74</v>
      </c>
      <c r="F860" s="1" t="s">
        <v>74</v>
      </c>
      <c r="G860" s="1" t="s">
        <v>157</v>
      </c>
      <c r="H860" s="1" t="s">
        <v>93</v>
      </c>
      <c r="I860" s="31">
        <v>3</v>
      </c>
      <c r="J860" s="32">
        <v>20.39</v>
      </c>
      <c r="K860" s="32">
        <v>61.17</v>
      </c>
      <c r="L860" s="32">
        <v>30.15</v>
      </c>
      <c r="M860" s="32">
        <v>31.02</v>
      </c>
      <c r="N860" s="1" t="s">
        <v>86</v>
      </c>
      <c r="O860" s="1" t="s">
        <v>78</v>
      </c>
    </row>
    <row r="861" spans="1:15" ht="18.95" customHeight="1" x14ac:dyDescent="0.25">
      <c r="A861" s="1" t="s">
        <v>1092</v>
      </c>
      <c r="B861" s="30">
        <v>45996.5</v>
      </c>
      <c r="C861" s="1" t="s">
        <v>945</v>
      </c>
      <c r="D861" s="1" t="s">
        <v>946</v>
      </c>
      <c r="E861" s="1" t="s">
        <v>74</v>
      </c>
      <c r="F861" s="1" t="s">
        <v>74</v>
      </c>
      <c r="G861" s="1" t="s">
        <v>110</v>
      </c>
      <c r="H861" s="1" t="s">
        <v>85</v>
      </c>
      <c r="I861" s="31">
        <v>2</v>
      </c>
      <c r="J861" s="32">
        <v>12.59</v>
      </c>
      <c r="K861" s="32">
        <v>25.18</v>
      </c>
      <c r="L861" s="32">
        <v>12.46</v>
      </c>
      <c r="M861" s="32">
        <v>12.72</v>
      </c>
      <c r="N861" s="1" t="s">
        <v>86</v>
      </c>
      <c r="O861" s="1" t="s">
        <v>78</v>
      </c>
    </row>
    <row r="862" spans="1:15" ht="18.95" customHeight="1" x14ac:dyDescent="0.25">
      <c r="A862" s="1" t="s">
        <v>1093</v>
      </c>
      <c r="B862" s="30">
        <v>45997.5</v>
      </c>
      <c r="C862" s="1" t="s">
        <v>245</v>
      </c>
      <c r="D862" s="1" t="s">
        <v>246</v>
      </c>
      <c r="E862" s="1" t="s">
        <v>104</v>
      </c>
      <c r="F862" s="1" t="s">
        <v>105</v>
      </c>
      <c r="G862" s="1" t="s">
        <v>179</v>
      </c>
      <c r="H862" s="1" t="s">
        <v>128</v>
      </c>
      <c r="I862" s="31">
        <v>1</v>
      </c>
      <c r="J862" s="32">
        <v>38.75</v>
      </c>
      <c r="K862" s="32">
        <v>38.75</v>
      </c>
      <c r="L862" s="32">
        <v>24.21</v>
      </c>
      <c r="M862" s="32">
        <v>14.54</v>
      </c>
      <c r="N862" s="1" t="s">
        <v>86</v>
      </c>
      <c r="O862" s="1" t="s">
        <v>112</v>
      </c>
    </row>
    <row r="863" spans="1:15" ht="18.95" customHeight="1" x14ac:dyDescent="0.25">
      <c r="A863" s="1" t="s">
        <v>1093</v>
      </c>
      <c r="B863" s="30">
        <v>45997.5</v>
      </c>
      <c r="C863" s="1" t="s">
        <v>245</v>
      </c>
      <c r="D863" s="1" t="s">
        <v>246</v>
      </c>
      <c r="E863" s="1" t="s">
        <v>104</v>
      </c>
      <c r="F863" s="1" t="s">
        <v>105</v>
      </c>
      <c r="G863" s="1" t="s">
        <v>202</v>
      </c>
      <c r="H863" s="1" t="s">
        <v>85</v>
      </c>
      <c r="I863" s="31">
        <v>2</v>
      </c>
      <c r="J863" s="32">
        <v>6.52</v>
      </c>
      <c r="K863" s="32">
        <v>13.04</v>
      </c>
      <c r="L863" s="32">
        <v>8.83</v>
      </c>
      <c r="M863" s="32">
        <v>4.21</v>
      </c>
      <c r="N863" s="1" t="s">
        <v>86</v>
      </c>
      <c r="O863" s="1" t="s">
        <v>112</v>
      </c>
    </row>
    <row r="864" spans="1:15" ht="18.95" customHeight="1" x14ac:dyDescent="0.25">
      <c r="A864" s="1" t="s">
        <v>1094</v>
      </c>
      <c r="B864" s="30">
        <v>45997.5</v>
      </c>
      <c r="C864" s="1" t="s">
        <v>309</v>
      </c>
      <c r="D864" s="1" t="s">
        <v>310</v>
      </c>
      <c r="E864" s="1" t="s">
        <v>74</v>
      </c>
      <c r="F864" s="1" t="s">
        <v>74</v>
      </c>
      <c r="G864" s="1" t="s">
        <v>184</v>
      </c>
      <c r="H864" s="1" t="s">
        <v>99</v>
      </c>
      <c r="I864" s="31">
        <v>2</v>
      </c>
      <c r="J864" s="32">
        <v>173.39</v>
      </c>
      <c r="K864" s="32">
        <v>346.78</v>
      </c>
      <c r="L864" s="32">
        <v>286.55</v>
      </c>
      <c r="M864" s="32">
        <v>60.23</v>
      </c>
      <c r="N864" s="1" t="s">
        <v>86</v>
      </c>
      <c r="O864" s="1" t="s">
        <v>112</v>
      </c>
    </row>
    <row r="865" spans="1:15" ht="18.95" customHeight="1" x14ac:dyDescent="0.25">
      <c r="A865" s="1" t="s">
        <v>1094</v>
      </c>
      <c r="B865" s="30">
        <v>45997.5</v>
      </c>
      <c r="C865" s="1" t="s">
        <v>309</v>
      </c>
      <c r="D865" s="1" t="s">
        <v>310</v>
      </c>
      <c r="E865" s="1" t="s">
        <v>74</v>
      </c>
      <c r="F865" s="1" t="s">
        <v>74</v>
      </c>
      <c r="G865" s="1" t="s">
        <v>319</v>
      </c>
      <c r="H865" s="1" t="s">
        <v>128</v>
      </c>
      <c r="I865" s="31">
        <v>1</v>
      </c>
      <c r="J865" s="32">
        <v>53.29</v>
      </c>
      <c r="K865" s="32">
        <v>53.29</v>
      </c>
      <c r="L865" s="32">
        <v>37.75</v>
      </c>
      <c r="M865" s="32">
        <v>15.54</v>
      </c>
      <c r="N865" s="1" t="s">
        <v>86</v>
      </c>
      <c r="O865" s="1" t="s">
        <v>112</v>
      </c>
    </row>
    <row r="866" spans="1:15" ht="18.95" customHeight="1" x14ac:dyDescent="0.25">
      <c r="A866" s="1" t="s">
        <v>1095</v>
      </c>
      <c r="B866" s="30">
        <v>45999.5</v>
      </c>
      <c r="C866" s="1" t="s">
        <v>691</v>
      </c>
      <c r="D866" s="1" t="s">
        <v>692</v>
      </c>
      <c r="E866" s="1" t="s">
        <v>183</v>
      </c>
      <c r="F866" s="1" t="s">
        <v>137</v>
      </c>
      <c r="G866" s="1" t="s">
        <v>92</v>
      </c>
      <c r="H866" s="1" t="s">
        <v>93</v>
      </c>
      <c r="I866" s="31">
        <v>1</v>
      </c>
      <c r="J866" s="32">
        <v>71.39</v>
      </c>
      <c r="K866" s="32">
        <v>71.39</v>
      </c>
      <c r="L866" s="32">
        <v>49.05</v>
      </c>
      <c r="M866" s="32">
        <v>22.34</v>
      </c>
      <c r="N866" s="1" t="s">
        <v>315</v>
      </c>
      <c r="O866" s="1" t="s">
        <v>112</v>
      </c>
    </row>
    <row r="867" spans="1:15" ht="18.95" customHeight="1" x14ac:dyDescent="0.25">
      <c r="A867" s="1" t="s">
        <v>1096</v>
      </c>
      <c r="B867" s="30">
        <v>46000.5</v>
      </c>
      <c r="C867" s="1" t="s">
        <v>218</v>
      </c>
      <c r="D867" s="1" t="s">
        <v>219</v>
      </c>
      <c r="E867" s="1" t="s">
        <v>82</v>
      </c>
      <c r="F867" s="1" t="s">
        <v>83</v>
      </c>
      <c r="G867" s="1" t="s">
        <v>110</v>
      </c>
      <c r="H867" s="1" t="s">
        <v>85</v>
      </c>
      <c r="I867" s="31">
        <v>1</v>
      </c>
      <c r="J867" s="32">
        <v>11.92</v>
      </c>
      <c r="K867" s="32">
        <v>11.92</v>
      </c>
      <c r="L867" s="32">
        <v>6.19</v>
      </c>
      <c r="M867" s="32">
        <v>5.73</v>
      </c>
      <c r="N867" s="1" t="s">
        <v>117</v>
      </c>
      <c r="O867" s="1" t="s">
        <v>78</v>
      </c>
    </row>
    <row r="868" spans="1:15" ht="18.95" customHeight="1" x14ac:dyDescent="0.25">
      <c r="A868" s="1" t="s">
        <v>1097</v>
      </c>
      <c r="B868" s="30">
        <v>46001.5</v>
      </c>
      <c r="C868" s="1" t="s">
        <v>407</v>
      </c>
      <c r="D868" s="1" t="s">
        <v>408</v>
      </c>
      <c r="E868" s="1" t="s">
        <v>97</v>
      </c>
      <c r="F868" s="1" t="s">
        <v>91</v>
      </c>
      <c r="G868" s="1" t="s">
        <v>213</v>
      </c>
      <c r="H868" s="1" t="s">
        <v>93</v>
      </c>
      <c r="I868" s="31">
        <v>1</v>
      </c>
      <c r="J868" s="32">
        <v>33.65</v>
      </c>
      <c r="K868" s="32">
        <v>33.65</v>
      </c>
      <c r="L868" s="32">
        <v>19.77</v>
      </c>
      <c r="M868" s="32">
        <v>13.88</v>
      </c>
      <c r="N868" s="1" t="s">
        <v>111</v>
      </c>
      <c r="O868" s="1" t="s">
        <v>112</v>
      </c>
    </row>
    <row r="869" spans="1:15" ht="18.95" customHeight="1" x14ac:dyDescent="0.25">
      <c r="A869" s="1" t="s">
        <v>1098</v>
      </c>
      <c r="B869" s="30">
        <v>46001.5</v>
      </c>
      <c r="C869" s="1" t="s">
        <v>677</v>
      </c>
      <c r="D869" s="1" t="s">
        <v>678</v>
      </c>
      <c r="E869" s="1" t="s">
        <v>74</v>
      </c>
      <c r="F869" s="1" t="s">
        <v>74</v>
      </c>
      <c r="G869" s="1" t="s">
        <v>132</v>
      </c>
      <c r="H869" s="1" t="s">
        <v>99</v>
      </c>
      <c r="I869" s="31">
        <v>1</v>
      </c>
      <c r="J869" s="32">
        <v>91.79</v>
      </c>
      <c r="K869" s="32">
        <v>91.79</v>
      </c>
      <c r="L869" s="32">
        <v>71.3</v>
      </c>
      <c r="M869" s="32">
        <v>20.49</v>
      </c>
      <c r="N869" s="1" t="s">
        <v>86</v>
      </c>
      <c r="O869" s="1" t="s">
        <v>118</v>
      </c>
    </row>
    <row r="870" spans="1:15" ht="18.95" customHeight="1" x14ac:dyDescent="0.25">
      <c r="A870" s="1" t="s">
        <v>1099</v>
      </c>
      <c r="B870" s="30">
        <v>46001.5</v>
      </c>
      <c r="C870" s="1" t="s">
        <v>1100</v>
      </c>
      <c r="D870" s="1" t="s">
        <v>1101</v>
      </c>
      <c r="E870" s="1" t="s">
        <v>164</v>
      </c>
      <c r="F870" s="1" t="s">
        <v>165</v>
      </c>
      <c r="G870" s="1" t="s">
        <v>92</v>
      </c>
      <c r="H870" s="1" t="s">
        <v>93</v>
      </c>
      <c r="I870" s="31">
        <v>2</v>
      </c>
      <c r="J870" s="32">
        <v>71.39</v>
      </c>
      <c r="K870" s="32">
        <v>142.78</v>
      </c>
      <c r="L870" s="32">
        <v>94.52</v>
      </c>
      <c r="M870" s="32">
        <v>48.26</v>
      </c>
      <c r="N870" s="1" t="s">
        <v>77</v>
      </c>
      <c r="O870" s="1" t="s">
        <v>78</v>
      </c>
    </row>
    <row r="871" spans="1:15" ht="18.95" customHeight="1" x14ac:dyDescent="0.25">
      <c r="A871" s="1" t="s">
        <v>1102</v>
      </c>
      <c r="B871" s="30">
        <v>46003.5</v>
      </c>
      <c r="C871" s="1" t="s">
        <v>1103</v>
      </c>
      <c r="D871" s="1" t="s">
        <v>1104</v>
      </c>
      <c r="E871" s="1" t="s">
        <v>164</v>
      </c>
      <c r="F871" s="1" t="s">
        <v>165</v>
      </c>
      <c r="G871" s="1" t="s">
        <v>306</v>
      </c>
      <c r="H871" s="1" t="s">
        <v>76</v>
      </c>
      <c r="I871" s="31">
        <v>3</v>
      </c>
      <c r="J871" s="32">
        <v>24.22</v>
      </c>
      <c r="K871" s="32">
        <v>72.66</v>
      </c>
      <c r="L871" s="32">
        <v>43.72</v>
      </c>
      <c r="M871" s="32">
        <v>28.94</v>
      </c>
      <c r="N871" s="1" t="s">
        <v>86</v>
      </c>
      <c r="O871" s="1" t="s">
        <v>118</v>
      </c>
    </row>
    <row r="872" spans="1:15" ht="18.95" customHeight="1" x14ac:dyDescent="0.25">
      <c r="A872" s="1" t="s">
        <v>1102</v>
      </c>
      <c r="B872" s="30">
        <v>46003.5</v>
      </c>
      <c r="C872" s="1" t="s">
        <v>1103</v>
      </c>
      <c r="D872" s="1" t="s">
        <v>1104</v>
      </c>
      <c r="E872" s="1" t="s">
        <v>164</v>
      </c>
      <c r="F872" s="1" t="s">
        <v>165</v>
      </c>
      <c r="G872" s="1" t="s">
        <v>132</v>
      </c>
      <c r="H872" s="1" t="s">
        <v>99</v>
      </c>
      <c r="I872" s="31">
        <v>1</v>
      </c>
      <c r="J872" s="32">
        <v>91.79</v>
      </c>
      <c r="K872" s="32">
        <v>91.79</v>
      </c>
      <c r="L872" s="32">
        <v>71.3</v>
      </c>
      <c r="M872" s="32">
        <v>20.49</v>
      </c>
      <c r="N872" s="1" t="s">
        <v>86</v>
      </c>
      <c r="O872" s="1" t="s">
        <v>118</v>
      </c>
    </row>
    <row r="873" spans="1:15" ht="18.95" customHeight="1" x14ac:dyDescent="0.25">
      <c r="A873" s="1" t="s">
        <v>1105</v>
      </c>
      <c r="B873" s="30">
        <v>46003.5</v>
      </c>
      <c r="C873" s="1" t="s">
        <v>1106</v>
      </c>
      <c r="D873" s="1" t="s">
        <v>1107</v>
      </c>
      <c r="E873" s="1" t="s">
        <v>136</v>
      </c>
      <c r="F873" s="1" t="s">
        <v>137</v>
      </c>
      <c r="G873" s="1" t="s">
        <v>75</v>
      </c>
      <c r="H873" s="1" t="s">
        <v>76</v>
      </c>
      <c r="I873" s="31">
        <v>1</v>
      </c>
      <c r="J873" s="32">
        <v>27.53</v>
      </c>
      <c r="K873" s="32">
        <v>27.53</v>
      </c>
      <c r="L873" s="32">
        <v>15.35</v>
      </c>
      <c r="M873" s="32">
        <v>12.18</v>
      </c>
      <c r="N873" s="1" t="s">
        <v>117</v>
      </c>
      <c r="O873" s="1" t="s">
        <v>112</v>
      </c>
    </row>
    <row r="874" spans="1:15" ht="18.95" customHeight="1" x14ac:dyDescent="0.25">
      <c r="A874" s="1" t="s">
        <v>1108</v>
      </c>
      <c r="B874" s="30">
        <v>46003.5</v>
      </c>
      <c r="C874" s="1" t="s">
        <v>221</v>
      </c>
      <c r="D874" s="1" t="s">
        <v>222</v>
      </c>
      <c r="E874" s="1" t="s">
        <v>183</v>
      </c>
      <c r="F874" s="1" t="s">
        <v>137</v>
      </c>
      <c r="G874" s="1" t="s">
        <v>139</v>
      </c>
      <c r="H874" s="1" t="s">
        <v>128</v>
      </c>
      <c r="I874" s="31">
        <v>2</v>
      </c>
      <c r="J874" s="32">
        <v>57.11</v>
      </c>
      <c r="K874" s="32">
        <v>114.22</v>
      </c>
      <c r="L874" s="32">
        <v>95.81</v>
      </c>
      <c r="M874" s="32">
        <v>18.41</v>
      </c>
      <c r="N874" s="1" t="s">
        <v>86</v>
      </c>
      <c r="O874" s="1" t="s">
        <v>112</v>
      </c>
    </row>
    <row r="875" spans="1:15" ht="18.95" customHeight="1" x14ac:dyDescent="0.25">
      <c r="A875" s="1" t="s">
        <v>1109</v>
      </c>
      <c r="B875" s="30">
        <v>46004.5</v>
      </c>
      <c r="C875" s="1" t="s">
        <v>1110</v>
      </c>
      <c r="D875" s="1" t="s">
        <v>1111</v>
      </c>
      <c r="E875" s="1" t="s">
        <v>164</v>
      </c>
      <c r="F875" s="1" t="s">
        <v>165</v>
      </c>
      <c r="G875" s="1" t="s">
        <v>151</v>
      </c>
      <c r="H875" s="1" t="s">
        <v>76</v>
      </c>
      <c r="I875" s="31">
        <v>1</v>
      </c>
      <c r="J875" s="32">
        <v>19.37</v>
      </c>
      <c r="K875" s="32">
        <v>19.37</v>
      </c>
      <c r="L875" s="32">
        <v>9.35</v>
      </c>
      <c r="M875" s="32">
        <v>10.02</v>
      </c>
      <c r="N875" s="1" t="s">
        <v>86</v>
      </c>
      <c r="O875" s="1" t="s">
        <v>78</v>
      </c>
    </row>
    <row r="876" spans="1:15" ht="18.95" customHeight="1" x14ac:dyDescent="0.25">
      <c r="A876" s="1" t="s">
        <v>1112</v>
      </c>
      <c r="B876" s="30">
        <v>46007.5</v>
      </c>
      <c r="C876" s="1" t="s">
        <v>505</v>
      </c>
      <c r="D876" s="1" t="s">
        <v>506</v>
      </c>
      <c r="E876" s="1" t="s">
        <v>74</v>
      </c>
      <c r="F876" s="1" t="s">
        <v>74</v>
      </c>
      <c r="G876" s="1" t="s">
        <v>110</v>
      </c>
      <c r="H876" s="1" t="s">
        <v>85</v>
      </c>
      <c r="I876" s="31">
        <v>3</v>
      </c>
      <c r="J876" s="32">
        <v>12.59</v>
      </c>
      <c r="K876" s="32">
        <v>37.770000000000003</v>
      </c>
      <c r="L876" s="32">
        <v>18.690000000000001</v>
      </c>
      <c r="M876" s="32">
        <v>19.079999999999998</v>
      </c>
      <c r="N876" s="1" t="s">
        <v>86</v>
      </c>
      <c r="O876" s="1" t="s">
        <v>78</v>
      </c>
    </row>
    <row r="877" spans="1:15" ht="18.95" customHeight="1" x14ac:dyDescent="0.25">
      <c r="A877" s="1" t="s">
        <v>1112</v>
      </c>
      <c r="B877" s="30">
        <v>46007.5</v>
      </c>
      <c r="C877" s="1" t="s">
        <v>505</v>
      </c>
      <c r="D877" s="1" t="s">
        <v>506</v>
      </c>
      <c r="E877" s="1" t="s">
        <v>74</v>
      </c>
      <c r="F877" s="1" t="s">
        <v>74</v>
      </c>
      <c r="G877" s="1" t="s">
        <v>155</v>
      </c>
      <c r="H877" s="1" t="s">
        <v>93</v>
      </c>
      <c r="I877" s="31">
        <v>1</v>
      </c>
      <c r="J877" s="32">
        <v>28.55</v>
      </c>
      <c r="K877" s="32">
        <v>28.55</v>
      </c>
      <c r="L877" s="32">
        <v>14.35</v>
      </c>
      <c r="M877" s="32">
        <v>14.2</v>
      </c>
      <c r="N877" s="1" t="s">
        <v>86</v>
      </c>
      <c r="O877" s="1" t="s">
        <v>78</v>
      </c>
    </row>
    <row r="878" spans="1:15" ht="18.95" customHeight="1" x14ac:dyDescent="0.25">
      <c r="A878" s="1" t="s">
        <v>1113</v>
      </c>
      <c r="B878" s="30">
        <v>46009.5</v>
      </c>
      <c r="C878" s="1" t="s">
        <v>373</v>
      </c>
      <c r="D878" s="1" t="s">
        <v>374</v>
      </c>
      <c r="E878" s="1" t="s">
        <v>90</v>
      </c>
      <c r="F878" s="1" t="s">
        <v>91</v>
      </c>
      <c r="G878" s="1" t="s">
        <v>92</v>
      </c>
      <c r="H878" s="1" t="s">
        <v>93</v>
      </c>
      <c r="I878" s="31">
        <v>3</v>
      </c>
      <c r="J878" s="32">
        <v>71.39</v>
      </c>
      <c r="K878" s="32">
        <v>214.17</v>
      </c>
      <c r="L878" s="32">
        <v>141.78</v>
      </c>
      <c r="M878" s="32">
        <v>72.39</v>
      </c>
      <c r="N878" s="1" t="s">
        <v>117</v>
      </c>
      <c r="O878" s="1" t="s">
        <v>78</v>
      </c>
    </row>
    <row r="879" spans="1:15" ht="18.95" customHeight="1" x14ac:dyDescent="0.25">
      <c r="A879" s="1" t="s">
        <v>1113</v>
      </c>
      <c r="B879" s="30">
        <v>46009.5</v>
      </c>
      <c r="C879" s="1" t="s">
        <v>373</v>
      </c>
      <c r="D879" s="1" t="s">
        <v>374</v>
      </c>
      <c r="E879" s="1" t="s">
        <v>90</v>
      </c>
      <c r="F879" s="1" t="s">
        <v>91</v>
      </c>
      <c r="G879" s="1" t="s">
        <v>127</v>
      </c>
      <c r="H879" s="1" t="s">
        <v>128</v>
      </c>
      <c r="I879" s="31">
        <v>1</v>
      </c>
      <c r="J879" s="32">
        <v>24.22</v>
      </c>
      <c r="K879" s="32">
        <v>24.22</v>
      </c>
      <c r="L879" s="32">
        <v>15.28</v>
      </c>
      <c r="M879" s="32">
        <v>8.94</v>
      </c>
      <c r="N879" s="1" t="s">
        <v>117</v>
      </c>
      <c r="O879" s="1" t="s">
        <v>78</v>
      </c>
    </row>
    <row r="880" spans="1:15" ht="18.95" customHeight="1" x14ac:dyDescent="0.25">
      <c r="A880" s="1" t="s">
        <v>1114</v>
      </c>
      <c r="B880" s="30">
        <v>46009.5</v>
      </c>
      <c r="C880" s="1" t="s">
        <v>276</v>
      </c>
      <c r="D880" s="1" t="s">
        <v>277</v>
      </c>
      <c r="E880" s="1" t="s">
        <v>74</v>
      </c>
      <c r="F880" s="1" t="s">
        <v>74</v>
      </c>
      <c r="G880" s="1" t="s">
        <v>202</v>
      </c>
      <c r="H880" s="1" t="s">
        <v>85</v>
      </c>
      <c r="I880" s="31">
        <v>1</v>
      </c>
      <c r="J880" s="32">
        <v>8.15</v>
      </c>
      <c r="K880" s="32">
        <v>8.15</v>
      </c>
      <c r="L880" s="32">
        <v>4.34</v>
      </c>
      <c r="M880" s="32">
        <v>3.81</v>
      </c>
      <c r="N880" s="1" t="s">
        <v>117</v>
      </c>
      <c r="O880" s="1" t="s">
        <v>78</v>
      </c>
    </row>
    <row r="881" spans="1:15" ht="18.95" customHeight="1" x14ac:dyDescent="0.25">
      <c r="A881" s="1" t="s">
        <v>1115</v>
      </c>
      <c r="B881" s="30">
        <v>46009.5</v>
      </c>
      <c r="C881" s="1" t="s">
        <v>623</v>
      </c>
      <c r="D881" s="1" t="s">
        <v>624</v>
      </c>
      <c r="E881" s="1" t="s">
        <v>90</v>
      </c>
      <c r="F881" s="1" t="s">
        <v>91</v>
      </c>
      <c r="G881" s="1" t="s">
        <v>84</v>
      </c>
      <c r="H881" s="1" t="s">
        <v>85</v>
      </c>
      <c r="I881" s="31">
        <v>1</v>
      </c>
      <c r="J881" s="32">
        <v>9.17</v>
      </c>
      <c r="K881" s="32">
        <v>9.17</v>
      </c>
      <c r="L881" s="32">
        <v>4.0599999999999996</v>
      </c>
      <c r="M881" s="32">
        <v>5.1100000000000003</v>
      </c>
      <c r="N881" s="1" t="s">
        <v>117</v>
      </c>
      <c r="O881" s="1" t="s">
        <v>78</v>
      </c>
    </row>
    <row r="882" spans="1:15" ht="18.95" customHeight="1" x14ac:dyDescent="0.25">
      <c r="A882" s="1" t="s">
        <v>1116</v>
      </c>
      <c r="B882" s="30">
        <v>46010.5</v>
      </c>
      <c r="C882" s="1" t="s">
        <v>563</v>
      </c>
      <c r="D882" s="1" t="s">
        <v>564</v>
      </c>
      <c r="E882" s="1" t="s">
        <v>150</v>
      </c>
      <c r="F882" s="1" t="s">
        <v>105</v>
      </c>
      <c r="G882" s="1" t="s">
        <v>151</v>
      </c>
      <c r="H882" s="1" t="s">
        <v>76</v>
      </c>
      <c r="I882" s="31">
        <v>1</v>
      </c>
      <c r="J882" s="32">
        <v>15.5</v>
      </c>
      <c r="K882" s="32">
        <v>15.5</v>
      </c>
      <c r="L882" s="32">
        <v>9.5299999999999994</v>
      </c>
      <c r="M882" s="32">
        <v>5.97</v>
      </c>
      <c r="N882" s="1" t="s">
        <v>315</v>
      </c>
      <c r="O882" s="1" t="s">
        <v>112</v>
      </c>
    </row>
    <row r="883" spans="1:15" ht="18.95" customHeight="1" x14ac:dyDescent="0.25">
      <c r="A883" s="1" t="s">
        <v>1117</v>
      </c>
      <c r="B883" s="30">
        <v>46010.5</v>
      </c>
      <c r="C883" s="1" t="s">
        <v>328</v>
      </c>
      <c r="D883" s="1" t="s">
        <v>329</v>
      </c>
      <c r="E883" s="1" t="s">
        <v>330</v>
      </c>
      <c r="F883" s="1" t="s">
        <v>238</v>
      </c>
      <c r="G883" s="1" t="s">
        <v>84</v>
      </c>
      <c r="H883" s="1" t="s">
        <v>85</v>
      </c>
      <c r="I883" s="31">
        <v>1</v>
      </c>
      <c r="J883" s="32">
        <v>9.17</v>
      </c>
      <c r="K883" s="32">
        <v>9.17</v>
      </c>
      <c r="L883" s="32">
        <v>4.0599999999999996</v>
      </c>
      <c r="M883" s="32">
        <v>5.1100000000000003</v>
      </c>
      <c r="N883" s="1" t="s">
        <v>86</v>
      </c>
      <c r="O883" s="1" t="s">
        <v>78</v>
      </c>
    </row>
    <row r="884" spans="1:15" ht="18.95" customHeight="1" x14ac:dyDescent="0.25">
      <c r="A884" s="1" t="s">
        <v>1118</v>
      </c>
      <c r="B884" s="30">
        <v>46011.5</v>
      </c>
      <c r="C884" s="1" t="s">
        <v>282</v>
      </c>
      <c r="D884" s="1" t="s">
        <v>283</v>
      </c>
      <c r="E884" s="1" t="s">
        <v>164</v>
      </c>
      <c r="F884" s="1" t="s">
        <v>165</v>
      </c>
      <c r="G884" s="1" t="s">
        <v>139</v>
      </c>
      <c r="H884" s="1" t="s">
        <v>128</v>
      </c>
      <c r="I884" s="31">
        <v>1</v>
      </c>
      <c r="J884" s="32">
        <v>71.39</v>
      </c>
      <c r="K884" s="32">
        <v>71.39</v>
      </c>
      <c r="L884" s="32">
        <v>47.26</v>
      </c>
      <c r="M884" s="32">
        <v>24.13</v>
      </c>
      <c r="N884" s="1" t="s">
        <v>117</v>
      </c>
      <c r="O884" s="1" t="s">
        <v>78</v>
      </c>
    </row>
    <row r="885" spans="1:15" ht="18.95" customHeight="1" x14ac:dyDescent="0.25">
      <c r="A885" s="1" t="s">
        <v>1119</v>
      </c>
      <c r="B885" s="30">
        <v>46011.5</v>
      </c>
      <c r="C885" s="1" t="s">
        <v>291</v>
      </c>
      <c r="D885" s="1" t="s">
        <v>292</v>
      </c>
      <c r="E885" s="1" t="s">
        <v>90</v>
      </c>
      <c r="F885" s="1" t="s">
        <v>91</v>
      </c>
      <c r="G885" s="1" t="s">
        <v>110</v>
      </c>
      <c r="H885" s="1" t="s">
        <v>85</v>
      </c>
      <c r="I885" s="31">
        <v>2</v>
      </c>
      <c r="J885" s="32">
        <v>13.25</v>
      </c>
      <c r="K885" s="32">
        <v>26.5</v>
      </c>
      <c r="L885" s="32">
        <v>12.53</v>
      </c>
      <c r="M885" s="32">
        <v>13.97</v>
      </c>
      <c r="N885" s="1" t="s">
        <v>117</v>
      </c>
      <c r="O885" s="1" t="s">
        <v>78</v>
      </c>
    </row>
    <row r="886" spans="1:15" ht="18.95" customHeight="1" x14ac:dyDescent="0.25">
      <c r="A886" s="1" t="s">
        <v>1120</v>
      </c>
      <c r="B886" s="30">
        <v>46013.5</v>
      </c>
      <c r="C886" s="1" t="s">
        <v>254</v>
      </c>
      <c r="D886" s="1" t="s">
        <v>255</v>
      </c>
      <c r="E886" s="1" t="s">
        <v>90</v>
      </c>
      <c r="F886" s="1" t="s">
        <v>91</v>
      </c>
      <c r="G886" s="1" t="s">
        <v>132</v>
      </c>
      <c r="H886" s="1" t="s">
        <v>99</v>
      </c>
      <c r="I886" s="31">
        <v>1</v>
      </c>
      <c r="J886" s="32">
        <v>87.2</v>
      </c>
      <c r="K886" s="32">
        <v>87.2</v>
      </c>
      <c r="L886" s="32">
        <v>67.260000000000005</v>
      </c>
      <c r="M886" s="32">
        <v>19.940000000000001</v>
      </c>
      <c r="N886" s="1" t="s">
        <v>86</v>
      </c>
      <c r="O886" s="1" t="s">
        <v>112</v>
      </c>
    </row>
    <row r="887" spans="1:15" ht="18.95" customHeight="1" x14ac:dyDescent="0.25">
      <c r="A887" s="1" t="s">
        <v>1120</v>
      </c>
      <c r="B887" s="30">
        <v>46013.5</v>
      </c>
      <c r="C887" s="1" t="s">
        <v>254</v>
      </c>
      <c r="D887" s="1" t="s">
        <v>255</v>
      </c>
      <c r="E887" s="1" t="s">
        <v>90</v>
      </c>
      <c r="F887" s="1" t="s">
        <v>91</v>
      </c>
      <c r="G887" s="1" t="s">
        <v>84</v>
      </c>
      <c r="H887" s="1" t="s">
        <v>85</v>
      </c>
      <c r="I887" s="31">
        <v>2</v>
      </c>
      <c r="J887" s="32">
        <v>9.17</v>
      </c>
      <c r="K887" s="32">
        <v>18.34</v>
      </c>
      <c r="L887" s="32">
        <v>8.58</v>
      </c>
      <c r="M887" s="32">
        <v>9.76</v>
      </c>
      <c r="N887" s="1" t="s">
        <v>86</v>
      </c>
      <c r="O887" s="1" t="s">
        <v>112</v>
      </c>
    </row>
    <row r="888" spans="1:15" ht="18.95" customHeight="1" x14ac:dyDescent="0.25">
      <c r="A888" s="1" t="s">
        <v>1120</v>
      </c>
      <c r="B888" s="30">
        <v>46013.5</v>
      </c>
      <c r="C888" s="1" t="s">
        <v>254</v>
      </c>
      <c r="D888" s="1" t="s">
        <v>255</v>
      </c>
      <c r="E888" s="1" t="s">
        <v>90</v>
      </c>
      <c r="F888" s="1" t="s">
        <v>91</v>
      </c>
      <c r="G888" s="1" t="s">
        <v>202</v>
      </c>
      <c r="H888" s="1" t="s">
        <v>85</v>
      </c>
      <c r="I888" s="31">
        <v>1</v>
      </c>
      <c r="J888" s="32">
        <v>8.15</v>
      </c>
      <c r="K888" s="32">
        <v>8.15</v>
      </c>
      <c r="L888" s="32">
        <v>4.54</v>
      </c>
      <c r="M888" s="32">
        <v>3.61</v>
      </c>
      <c r="N888" s="1" t="s">
        <v>86</v>
      </c>
      <c r="O888" s="1" t="s">
        <v>112</v>
      </c>
    </row>
    <row r="889" spans="1:15" ht="18.95" customHeight="1" x14ac:dyDescent="0.25">
      <c r="A889" s="1" t="s">
        <v>1121</v>
      </c>
      <c r="B889" s="30">
        <v>46014.5</v>
      </c>
      <c r="C889" s="1" t="s">
        <v>539</v>
      </c>
      <c r="D889" s="1" t="s">
        <v>540</v>
      </c>
      <c r="E889" s="1" t="s">
        <v>212</v>
      </c>
      <c r="F889" s="1" t="s">
        <v>83</v>
      </c>
      <c r="G889" s="1" t="s">
        <v>92</v>
      </c>
      <c r="H889" s="1" t="s">
        <v>93</v>
      </c>
      <c r="I889" s="31">
        <v>2</v>
      </c>
      <c r="J889" s="32">
        <v>57.11</v>
      </c>
      <c r="K889" s="32">
        <v>114.22</v>
      </c>
      <c r="L889" s="32">
        <v>100.38</v>
      </c>
      <c r="M889" s="32">
        <v>13.84</v>
      </c>
      <c r="N889" s="1" t="s">
        <v>117</v>
      </c>
      <c r="O889" s="1" t="s">
        <v>118</v>
      </c>
    </row>
    <row r="890" spans="1:15" ht="18.95" customHeight="1" x14ac:dyDescent="0.25">
      <c r="A890" s="1" t="s">
        <v>1121</v>
      </c>
      <c r="B890" s="30">
        <v>46014.5</v>
      </c>
      <c r="C890" s="1" t="s">
        <v>539</v>
      </c>
      <c r="D890" s="1" t="s">
        <v>540</v>
      </c>
      <c r="E890" s="1" t="s">
        <v>212</v>
      </c>
      <c r="F890" s="1" t="s">
        <v>83</v>
      </c>
      <c r="G890" s="1" t="s">
        <v>75</v>
      </c>
      <c r="H890" s="1" t="s">
        <v>76</v>
      </c>
      <c r="I890" s="31">
        <v>2</v>
      </c>
      <c r="J890" s="32">
        <v>27.53</v>
      </c>
      <c r="K890" s="32">
        <v>55.06</v>
      </c>
      <c r="L890" s="32">
        <v>32.909999999999997</v>
      </c>
      <c r="M890" s="32">
        <v>22.15</v>
      </c>
      <c r="N890" s="1" t="s">
        <v>117</v>
      </c>
      <c r="O890" s="1" t="s">
        <v>118</v>
      </c>
    </row>
    <row r="891" spans="1:15" ht="18.95" customHeight="1" x14ac:dyDescent="0.25">
      <c r="A891" s="1" t="s">
        <v>1122</v>
      </c>
      <c r="B891" s="30">
        <v>46015.5</v>
      </c>
      <c r="C891" s="1" t="s">
        <v>224</v>
      </c>
      <c r="D891" s="1" t="s">
        <v>225</v>
      </c>
      <c r="E891" s="1" t="s">
        <v>74</v>
      </c>
      <c r="F891" s="1" t="s">
        <v>74</v>
      </c>
      <c r="G891" s="1" t="s">
        <v>98</v>
      </c>
      <c r="H891" s="1" t="s">
        <v>99</v>
      </c>
      <c r="I891" s="31">
        <v>2</v>
      </c>
      <c r="J891" s="32">
        <v>27.53</v>
      </c>
      <c r="K891" s="32">
        <v>55.06</v>
      </c>
      <c r="L891" s="32">
        <v>32.86</v>
      </c>
      <c r="M891" s="32">
        <v>22.2</v>
      </c>
      <c r="N891" s="1" t="s">
        <v>86</v>
      </c>
      <c r="O891" s="1" t="s">
        <v>78</v>
      </c>
    </row>
    <row r="892" spans="1:15" ht="18.95" customHeight="1" x14ac:dyDescent="0.25">
      <c r="A892" s="1" t="s">
        <v>1123</v>
      </c>
      <c r="B892" s="30">
        <v>46016.5</v>
      </c>
      <c r="C892" s="1" t="s">
        <v>1009</v>
      </c>
      <c r="D892" s="1" t="s">
        <v>1010</v>
      </c>
      <c r="E892" s="1" t="s">
        <v>74</v>
      </c>
      <c r="F892" s="1" t="s">
        <v>74</v>
      </c>
      <c r="G892" s="1" t="s">
        <v>127</v>
      </c>
      <c r="H892" s="1" t="s">
        <v>128</v>
      </c>
      <c r="I892" s="31">
        <v>1</v>
      </c>
      <c r="J892" s="32">
        <v>25.49</v>
      </c>
      <c r="K892" s="32">
        <v>25.49</v>
      </c>
      <c r="L892" s="32">
        <v>15.99</v>
      </c>
      <c r="M892" s="32">
        <v>9.5</v>
      </c>
      <c r="N892" s="1" t="s">
        <v>86</v>
      </c>
      <c r="O892" s="1" t="s">
        <v>112</v>
      </c>
    </row>
    <row r="893" spans="1:15" ht="18.95" customHeight="1" x14ac:dyDescent="0.25">
      <c r="A893" s="1" t="s">
        <v>1123</v>
      </c>
      <c r="B893" s="30">
        <v>46016.5</v>
      </c>
      <c r="C893" s="1" t="s">
        <v>1009</v>
      </c>
      <c r="D893" s="1" t="s">
        <v>1010</v>
      </c>
      <c r="E893" s="1" t="s">
        <v>74</v>
      </c>
      <c r="F893" s="1" t="s">
        <v>74</v>
      </c>
      <c r="G893" s="1" t="s">
        <v>132</v>
      </c>
      <c r="H893" s="1" t="s">
        <v>99</v>
      </c>
      <c r="I893" s="31">
        <v>3</v>
      </c>
      <c r="J893" s="32">
        <v>91.79</v>
      </c>
      <c r="K893" s="32">
        <v>275.37</v>
      </c>
      <c r="L893" s="32">
        <v>202.88</v>
      </c>
      <c r="M893" s="32">
        <v>72.489999999999995</v>
      </c>
      <c r="N893" s="1" t="s">
        <v>86</v>
      </c>
      <c r="O893" s="1" t="s">
        <v>112</v>
      </c>
    </row>
    <row r="894" spans="1:15" ht="18.95" customHeight="1" x14ac:dyDescent="0.25">
      <c r="A894" s="1" t="s">
        <v>1123</v>
      </c>
      <c r="B894" s="30">
        <v>46016.5</v>
      </c>
      <c r="C894" s="1" t="s">
        <v>1009</v>
      </c>
      <c r="D894" s="1" t="s">
        <v>1010</v>
      </c>
      <c r="E894" s="1" t="s">
        <v>74</v>
      </c>
      <c r="F894" s="1" t="s">
        <v>74</v>
      </c>
      <c r="G894" s="1" t="s">
        <v>259</v>
      </c>
      <c r="H894" s="1" t="s">
        <v>85</v>
      </c>
      <c r="I894" s="31">
        <v>2</v>
      </c>
      <c r="J894" s="32">
        <v>193.79</v>
      </c>
      <c r="K894" s="32">
        <v>387.58</v>
      </c>
      <c r="L894" s="32">
        <v>331.43</v>
      </c>
      <c r="M894" s="32">
        <v>56.15</v>
      </c>
      <c r="N894" s="1" t="s">
        <v>86</v>
      </c>
      <c r="O894" s="1" t="s">
        <v>112</v>
      </c>
    </row>
    <row r="895" spans="1:15" ht="18.95" customHeight="1" x14ac:dyDescent="0.25">
      <c r="A895" s="1" t="s">
        <v>1124</v>
      </c>
      <c r="B895" s="30">
        <v>46017.5</v>
      </c>
      <c r="C895" s="1" t="s">
        <v>338</v>
      </c>
      <c r="D895" s="1" t="s">
        <v>339</v>
      </c>
      <c r="E895" s="1" t="s">
        <v>243</v>
      </c>
      <c r="F895" s="1" t="s">
        <v>165</v>
      </c>
      <c r="G895" s="1" t="s">
        <v>110</v>
      </c>
      <c r="H895" s="1" t="s">
        <v>85</v>
      </c>
      <c r="I895" s="31">
        <v>1</v>
      </c>
      <c r="J895" s="32">
        <v>13.25</v>
      </c>
      <c r="K895" s="32">
        <v>13.25</v>
      </c>
      <c r="L895" s="32">
        <v>6.4</v>
      </c>
      <c r="M895" s="32">
        <v>6.85</v>
      </c>
      <c r="N895" s="1" t="s">
        <v>117</v>
      </c>
      <c r="O895" s="1" t="s">
        <v>233</v>
      </c>
    </row>
    <row r="896" spans="1:15" ht="18.95" customHeight="1" x14ac:dyDescent="0.25">
      <c r="A896" s="1" t="s">
        <v>1124</v>
      </c>
      <c r="B896" s="30">
        <v>46017.5</v>
      </c>
      <c r="C896" s="1" t="s">
        <v>338</v>
      </c>
      <c r="D896" s="1" t="s">
        <v>339</v>
      </c>
      <c r="E896" s="1" t="s">
        <v>243</v>
      </c>
      <c r="F896" s="1" t="s">
        <v>165</v>
      </c>
      <c r="G896" s="1" t="s">
        <v>179</v>
      </c>
      <c r="H896" s="1" t="s">
        <v>128</v>
      </c>
      <c r="I896" s="31">
        <v>4</v>
      </c>
      <c r="J896" s="32">
        <v>40.79</v>
      </c>
      <c r="K896" s="32">
        <v>163.16</v>
      </c>
      <c r="L896" s="32">
        <v>95.03</v>
      </c>
      <c r="M896" s="32">
        <v>68.13</v>
      </c>
      <c r="N896" s="1" t="s">
        <v>117</v>
      </c>
      <c r="O896" s="1" t="s">
        <v>233</v>
      </c>
    </row>
    <row r="897" spans="1:15" ht="18.95" customHeight="1" x14ac:dyDescent="0.25">
      <c r="A897" s="1" t="s">
        <v>1125</v>
      </c>
      <c r="B897" s="30">
        <v>46017.5</v>
      </c>
      <c r="C897" s="1" t="s">
        <v>304</v>
      </c>
      <c r="D897" s="1" t="s">
        <v>305</v>
      </c>
      <c r="E897" s="1" t="s">
        <v>74</v>
      </c>
      <c r="F897" s="1" t="s">
        <v>74</v>
      </c>
      <c r="G897" s="1" t="s">
        <v>207</v>
      </c>
      <c r="H897" s="1" t="s">
        <v>85</v>
      </c>
      <c r="I897" s="31">
        <v>2</v>
      </c>
      <c r="J897" s="32">
        <v>116.27</v>
      </c>
      <c r="K897" s="32">
        <v>232.54</v>
      </c>
      <c r="L897" s="32">
        <v>180.86</v>
      </c>
      <c r="M897" s="32">
        <v>51.68</v>
      </c>
      <c r="N897" s="1" t="s">
        <v>86</v>
      </c>
      <c r="O897" s="1" t="s">
        <v>78</v>
      </c>
    </row>
    <row r="898" spans="1:15" ht="18.95" customHeight="1" x14ac:dyDescent="0.25">
      <c r="A898" s="1" t="s">
        <v>1126</v>
      </c>
      <c r="B898" s="30">
        <v>46020.5</v>
      </c>
      <c r="C898" s="1" t="s">
        <v>462</v>
      </c>
      <c r="D898" s="1" t="s">
        <v>463</v>
      </c>
      <c r="E898" s="1" t="s">
        <v>125</v>
      </c>
      <c r="F898" s="1" t="s">
        <v>126</v>
      </c>
      <c r="G898" s="1" t="s">
        <v>319</v>
      </c>
      <c r="H898" s="1" t="s">
        <v>128</v>
      </c>
      <c r="I898" s="31">
        <v>1</v>
      </c>
      <c r="J898" s="32">
        <v>44.87</v>
      </c>
      <c r="K898" s="32">
        <v>44.87</v>
      </c>
      <c r="L898" s="32">
        <v>35.96</v>
      </c>
      <c r="M898" s="32">
        <v>8.91</v>
      </c>
      <c r="N898" s="1" t="s">
        <v>86</v>
      </c>
      <c r="O898" s="1" t="s">
        <v>78</v>
      </c>
    </row>
    <row r="899" spans="1:15" ht="18.95" customHeight="1" x14ac:dyDescent="0.25">
      <c r="A899" s="1" t="s">
        <v>1127</v>
      </c>
      <c r="B899" s="30">
        <v>46021.5</v>
      </c>
      <c r="C899" s="1" t="s">
        <v>380</v>
      </c>
      <c r="D899" s="1" t="s">
        <v>381</v>
      </c>
      <c r="E899" s="1" t="s">
        <v>183</v>
      </c>
      <c r="F899" s="1" t="s">
        <v>137</v>
      </c>
      <c r="G899" s="1" t="s">
        <v>184</v>
      </c>
      <c r="H899" s="1" t="s">
        <v>99</v>
      </c>
      <c r="I899" s="31">
        <v>1</v>
      </c>
      <c r="J899" s="32">
        <v>164.72</v>
      </c>
      <c r="K899" s="32">
        <v>164.72</v>
      </c>
      <c r="L899" s="32">
        <v>138.46</v>
      </c>
      <c r="M899" s="32">
        <v>26.26</v>
      </c>
      <c r="N899" s="1" t="s">
        <v>77</v>
      </c>
      <c r="O899" s="1" t="s">
        <v>78</v>
      </c>
    </row>
    <row r="900" spans="1:15" ht="18.95" customHeight="1" x14ac:dyDescent="0.25">
      <c r="A900" s="1" t="s">
        <v>1127</v>
      </c>
      <c r="B900" s="30">
        <v>46021.5</v>
      </c>
      <c r="C900" s="1" t="s">
        <v>380</v>
      </c>
      <c r="D900" s="1" t="s">
        <v>381</v>
      </c>
      <c r="E900" s="1" t="s">
        <v>183</v>
      </c>
      <c r="F900" s="1" t="s">
        <v>137</v>
      </c>
      <c r="G900" s="1" t="s">
        <v>84</v>
      </c>
      <c r="H900" s="1" t="s">
        <v>85</v>
      </c>
      <c r="I900" s="31">
        <v>2</v>
      </c>
      <c r="J900" s="32">
        <v>8.25</v>
      </c>
      <c r="K900" s="32">
        <v>16.5</v>
      </c>
      <c r="L900" s="32">
        <v>8.02</v>
      </c>
      <c r="M900" s="32">
        <v>8.48</v>
      </c>
      <c r="N900" s="1" t="s">
        <v>77</v>
      </c>
      <c r="O900" s="1" t="s">
        <v>78</v>
      </c>
    </row>
    <row r="901" spans="1:15" ht="18.95" customHeight="1" x14ac:dyDescent="0.25">
      <c r="A901" s="1" t="s">
        <v>1128</v>
      </c>
      <c r="B901" s="30">
        <v>46022.5</v>
      </c>
      <c r="C901" s="1" t="s">
        <v>328</v>
      </c>
      <c r="D901" s="1" t="s">
        <v>329</v>
      </c>
      <c r="E901" s="1" t="s">
        <v>330</v>
      </c>
      <c r="F901" s="1" t="s">
        <v>238</v>
      </c>
      <c r="G901" s="1" t="s">
        <v>202</v>
      </c>
      <c r="H901" s="1" t="s">
        <v>85</v>
      </c>
      <c r="I901" s="31">
        <v>1</v>
      </c>
      <c r="J901" s="32">
        <v>7.33</v>
      </c>
      <c r="K901" s="32">
        <v>7.33</v>
      </c>
      <c r="L901" s="32">
        <v>4.3</v>
      </c>
      <c r="M901" s="32">
        <v>3.03</v>
      </c>
      <c r="N901" s="1" t="s">
        <v>86</v>
      </c>
      <c r="O901" s="1" t="s">
        <v>78</v>
      </c>
    </row>
  </sheetData>
  <conditionalFormatting sqref="M2:M901">
    <cfRule type="cellIs" dxfId="1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DBFA8"/>
  </sheetPr>
  <dimension ref="A1:O81"/>
  <sheetViews>
    <sheetView showGridLines="0" workbookViewId="0">
      <pane ySplit="5" topLeftCell="A49" activePane="bottomLeft" state="frozen"/>
      <selection pane="bottomLeft" activeCell="F67" sqref="F67"/>
    </sheetView>
  </sheetViews>
  <sheetFormatPr defaultRowHeight="15" x14ac:dyDescent="0.25"/>
  <cols>
    <col min="1" max="1" width="28.28515625" bestFit="1" customWidth="1"/>
    <col min="2" max="2" width="15.85546875" bestFit="1" customWidth="1"/>
    <col min="3" max="3" width="12.7109375" bestFit="1" customWidth="1"/>
    <col min="4" max="4" width="15" bestFit="1" customWidth="1"/>
    <col min="5" max="5" width="13.42578125" bestFit="1" customWidth="1"/>
    <col min="6" max="6" width="15.85546875" bestFit="1" customWidth="1"/>
    <col min="7" max="7" width="12.7109375" bestFit="1" customWidth="1"/>
    <col min="8" max="8" width="15.85546875" bestFit="1" customWidth="1"/>
    <col min="9" max="15" width="13" customWidth="1"/>
  </cols>
  <sheetData>
    <row r="1" spans="1:15" ht="27" customHeight="1" x14ac:dyDescent="0.25">
      <c r="A1" s="2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.95" customHeight="1" x14ac:dyDescent="0.25">
      <c r="A2" s="3" t="s">
        <v>1129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4" t="s">
        <v>1130</v>
      </c>
      <c r="B4" s="5"/>
      <c r="C4" s="5"/>
      <c r="D4" s="5"/>
      <c r="E4" s="6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4" x14ac:dyDescent="0.25">
      <c r="A5" s="15" t="s">
        <v>1131</v>
      </c>
      <c r="B5" s="15" t="s">
        <v>1132</v>
      </c>
      <c r="C5" s="15" t="s">
        <v>1133</v>
      </c>
      <c r="D5" s="15" t="s">
        <v>1134</v>
      </c>
      <c r="E5" s="15" t="s">
        <v>1135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6" customHeight="1" x14ac:dyDescent="0.25">
      <c r="A6" s="34">
        <v>1</v>
      </c>
      <c r="B6" s="34" t="s">
        <v>1136</v>
      </c>
      <c r="C6" s="34" t="s">
        <v>1137</v>
      </c>
      <c r="D6" s="38">
        <f>ROWS('Raw Data'!A2:A901)</f>
        <v>900</v>
      </c>
      <c r="E6" s="37" t="s">
        <v>1247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6" customHeight="1" x14ac:dyDescent="0.25">
      <c r="A7" s="33">
        <v>2</v>
      </c>
      <c r="B7" s="33" t="s">
        <v>1138</v>
      </c>
      <c r="C7" s="33" t="s">
        <v>1139</v>
      </c>
      <c r="D7" s="38">
        <f>SUM('Raw Data'!I2:I901)</f>
        <v>1501</v>
      </c>
      <c r="E7" s="37" t="s">
        <v>1248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36" customHeight="1" x14ac:dyDescent="0.25">
      <c r="A8" s="33">
        <v>3</v>
      </c>
      <c r="B8" s="33" t="s">
        <v>1140</v>
      </c>
      <c r="C8" s="33" t="s">
        <v>1141</v>
      </c>
      <c r="D8" s="39">
        <f>SUM('Raw Data'!K2:K901)</f>
        <v>67938.500000000058</v>
      </c>
      <c r="E8" s="37" t="s">
        <v>1249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36" customHeight="1" x14ac:dyDescent="0.25">
      <c r="A9" s="33">
        <v>4</v>
      </c>
      <c r="B9" s="33" t="s">
        <v>1142</v>
      </c>
      <c r="C9" s="33" t="s">
        <v>1143</v>
      </c>
      <c r="D9" s="39">
        <f>SUM('Raw Data'!L2:L901)</f>
        <v>47871.96999999995</v>
      </c>
      <c r="E9" s="37" t="s">
        <v>1250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6" customHeight="1" x14ac:dyDescent="0.25">
      <c r="A10" s="33">
        <v>5</v>
      </c>
      <c r="B10" s="33" t="s">
        <v>1144</v>
      </c>
      <c r="C10" s="33" t="s">
        <v>1145</v>
      </c>
      <c r="D10" s="39">
        <f>SUM('Raw Data'!M2:M901)</f>
        <v>20066.529999999988</v>
      </c>
      <c r="E10" s="37" t="s">
        <v>1251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6" customHeight="1" x14ac:dyDescent="0.25">
      <c r="A11" s="33">
        <v>6</v>
      </c>
      <c r="B11" s="33" t="s">
        <v>1146</v>
      </c>
      <c r="C11" s="33" t="s">
        <v>1147</v>
      </c>
      <c r="D11" s="40">
        <f>D10/D8</f>
        <v>0.29536315932792112</v>
      </c>
      <c r="E11" s="37" t="s">
        <v>1252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36" customHeight="1" x14ac:dyDescent="0.25">
      <c r="A12" s="33">
        <v>7</v>
      </c>
      <c r="B12" s="33" t="s">
        <v>1148</v>
      </c>
      <c r="C12" s="33" t="s">
        <v>1149</v>
      </c>
      <c r="D12" s="39">
        <f>AVERAGE('Raw Data'!K2:K901)</f>
        <v>75.487222222222286</v>
      </c>
      <c r="E12" s="37" t="s">
        <v>1253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6" customHeight="1" x14ac:dyDescent="0.25">
      <c r="A13" s="33">
        <v>8</v>
      </c>
      <c r="B13" s="33" t="s">
        <v>1150</v>
      </c>
      <c r="C13" s="33" t="s">
        <v>1151</v>
      </c>
      <c r="D13" s="39">
        <f>-MAX('Raw Data'!K2:K901)</f>
        <v>-428.37</v>
      </c>
      <c r="E13" s="37" t="s">
        <v>1254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6" customHeight="1" x14ac:dyDescent="0.25">
      <c r="A14" s="33">
        <v>9</v>
      </c>
      <c r="B14" s="33" t="s">
        <v>1152</v>
      </c>
      <c r="C14" s="33" t="s">
        <v>1153</v>
      </c>
      <c r="D14" s="39">
        <f>MIN('Raw Data'!M2:M901)</f>
        <v>-7.2</v>
      </c>
      <c r="E14" s="37" t="s">
        <v>1255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36" customHeight="1" x14ac:dyDescent="0.25">
      <c r="A15" s="33">
        <v>10</v>
      </c>
      <c r="B15" s="33" t="s">
        <v>1154</v>
      </c>
      <c r="C15" s="33" t="s">
        <v>1155</v>
      </c>
      <c r="D15" s="38">
        <f>COUNTIF('Raw Data'!O2:O901, "Online")</f>
        <v>440</v>
      </c>
      <c r="E15" s="37" t="s">
        <v>1256</v>
      </c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6" customHeight="1" x14ac:dyDescent="0.25">
      <c r="A16" s="33">
        <v>11</v>
      </c>
      <c r="B16" s="33" t="s">
        <v>1156</v>
      </c>
      <c r="C16" s="33" t="s">
        <v>1157</v>
      </c>
      <c r="D16" s="39">
        <f>SUMIF('Raw Data'!F2:F901,"North West",'Raw Data'!K2:K901)</f>
        <v>10515.119999999994</v>
      </c>
      <c r="E16" s="37" t="s">
        <v>1257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36" customHeight="1" x14ac:dyDescent="0.25">
      <c r="A17" s="35">
        <v>12</v>
      </c>
      <c r="B17" s="35" t="s">
        <v>1158</v>
      </c>
      <c r="C17" s="35" t="s">
        <v>1159</v>
      </c>
      <c r="D17" s="38">
        <f>COUNTIF('Raw Data'!N2:N901,"PayPal")</f>
        <v>155</v>
      </c>
      <c r="E17" s="37" t="s">
        <v>1258</v>
      </c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4" t="s">
        <v>1160</v>
      </c>
      <c r="B20" s="5"/>
      <c r="C20" s="5"/>
      <c r="D20" s="5"/>
      <c r="E20" s="5"/>
      <c r="F20" s="6"/>
      <c r="G20" s="1"/>
      <c r="H20" s="1"/>
      <c r="I20" s="1"/>
      <c r="J20" s="1"/>
      <c r="K20" s="1"/>
      <c r="L20" s="1"/>
      <c r="M20" s="1"/>
      <c r="N20" s="1"/>
      <c r="O20" s="1"/>
    </row>
    <row r="21" spans="1:15" ht="24" x14ac:dyDescent="0.25">
      <c r="A21" s="15" t="s">
        <v>1131</v>
      </c>
      <c r="B21" s="15" t="s">
        <v>1132</v>
      </c>
      <c r="C21" s="15" t="s">
        <v>1161</v>
      </c>
      <c r="D21" s="15" t="s">
        <v>1162</v>
      </c>
      <c r="E21" s="15" t="s">
        <v>1163</v>
      </c>
      <c r="F21" s="15" t="s">
        <v>1164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 ht="39" customHeight="1" x14ac:dyDescent="0.25">
      <c r="A22" s="34">
        <v>1</v>
      </c>
      <c r="B22" s="34" t="s">
        <v>1165</v>
      </c>
      <c r="C22" s="34" t="s">
        <v>61</v>
      </c>
      <c r="D22" s="34" t="s">
        <v>1166</v>
      </c>
      <c r="E22" s="34" t="s">
        <v>1167</v>
      </c>
      <c r="F22" s="59" t="s">
        <v>1261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ht="39" customHeight="1" x14ac:dyDescent="0.25">
      <c r="A23" s="33">
        <v>2</v>
      </c>
      <c r="B23" s="33" t="s">
        <v>1168</v>
      </c>
      <c r="C23" s="33" t="s">
        <v>63</v>
      </c>
      <c r="D23" s="33" t="s">
        <v>1169</v>
      </c>
      <c r="E23" s="33" t="s">
        <v>1167</v>
      </c>
      <c r="F23" s="59" t="s">
        <v>1262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ht="39" customHeight="1" x14ac:dyDescent="0.25">
      <c r="A24" s="33">
        <v>3</v>
      </c>
      <c r="B24" s="33" t="s">
        <v>1170</v>
      </c>
      <c r="C24" s="33" t="s">
        <v>1171</v>
      </c>
      <c r="D24" s="33" t="s">
        <v>1166</v>
      </c>
      <c r="E24" s="33" t="s">
        <v>1172</v>
      </c>
      <c r="F24" s="59" t="s">
        <v>1277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ht="39" customHeight="1" x14ac:dyDescent="0.25">
      <c r="A25" s="33">
        <v>4</v>
      </c>
      <c r="B25" s="33" t="s">
        <v>1173</v>
      </c>
      <c r="C25" s="33" t="s">
        <v>62</v>
      </c>
      <c r="D25" s="33" t="s">
        <v>1174</v>
      </c>
      <c r="E25" s="33" t="s">
        <v>1175</v>
      </c>
      <c r="F25" s="59" t="s">
        <v>1278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ht="39" customHeight="1" x14ac:dyDescent="0.25">
      <c r="A26" s="33">
        <v>5</v>
      </c>
      <c r="B26" s="33" t="s">
        <v>1176</v>
      </c>
      <c r="C26" s="33" t="s">
        <v>59</v>
      </c>
      <c r="D26" s="33" t="s">
        <v>1166</v>
      </c>
      <c r="E26" s="33" t="s">
        <v>1177</v>
      </c>
      <c r="F26" s="59" t="s">
        <v>1279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 ht="39" customHeight="1" x14ac:dyDescent="0.25">
      <c r="A27" s="33">
        <v>6</v>
      </c>
      <c r="B27" s="33" t="s">
        <v>1178</v>
      </c>
      <c r="C27" s="33" t="s">
        <v>70</v>
      </c>
      <c r="D27" s="33" t="s">
        <v>1174</v>
      </c>
      <c r="E27" s="33" t="s">
        <v>1175</v>
      </c>
      <c r="F27" s="59" t="s">
        <v>1280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 ht="39" customHeight="1" x14ac:dyDescent="0.25">
      <c r="A28" s="35">
        <v>7</v>
      </c>
      <c r="B28" s="35" t="s">
        <v>1179</v>
      </c>
      <c r="C28" s="35" t="s">
        <v>69</v>
      </c>
      <c r="D28" s="35" t="s">
        <v>1180</v>
      </c>
      <c r="E28" s="35" t="s">
        <v>1181</v>
      </c>
      <c r="F28" s="59" t="s">
        <v>1281</v>
      </c>
      <c r="G28" s="36"/>
      <c r="H28" s="36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4" t="s">
        <v>1182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</row>
    <row r="32" spans="1:15" ht="30" customHeight="1" x14ac:dyDescent="0.25">
      <c r="A32" s="54" t="s">
        <v>1183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55" t="s">
        <v>1259</v>
      </c>
      <c r="B34" t="s">
        <v>1166</v>
      </c>
      <c r="D34" s="55" t="s">
        <v>1259</v>
      </c>
      <c r="E34" t="s">
        <v>1169</v>
      </c>
      <c r="G34" s="55" t="s">
        <v>1259</v>
      </c>
      <c r="H34" t="s">
        <v>1166</v>
      </c>
      <c r="J34" s="16"/>
      <c r="K34" s="16"/>
      <c r="L34" s="16"/>
      <c r="M34" s="16"/>
      <c r="N34" s="16"/>
      <c r="O34" s="41"/>
    </row>
    <row r="35" spans="1:15" x14ac:dyDescent="0.25">
      <c r="A35" s="56" t="s">
        <v>91</v>
      </c>
      <c r="B35" s="58">
        <v>12909.849999999989</v>
      </c>
      <c r="D35" s="56" t="s">
        <v>128</v>
      </c>
      <c r="E35" s="57">
        <v>6314.800000000002</v>
      </c>
      <c r="G35" s="56" t="s">
        <v>1263</v>
      </c>
      <c r="H35" s="57">
        <v>34820.599999999984</v>
      </c>
      <c r="J35" s="1"/>
      <c r="K35" s="1"/>
      <c r="L35" s="1"/>
      <c r="M35" s="1"/>
      <c r="N35" s="1"/>
      <c r="O35" s="42"/>
    </row>
    <row r="36" spans="1:15" x14ac:dyDescent="0.25">
      <c r="A36" s="56" t="s">
        <v>83</v>
      </c>
      <c r="B36" s="58">
        <v>10515.119999999994</v>
      </c>
      <c r="D36" s="56" t="s">
        <v>99</v>
      </c>
      <c r="E36" s="57">
        <v>3564.6500000000005</v>
      </c>
      <c r="G36" s="60" t="s">
        <v>1265</v>
      </c>
      <c r="H36" s="57">
        <v>2830.2500000000009</v>
      </c>
      <c r="J36" s="1"/>
      <c r="K36" s="1"/>
      <c r="L36" s="1"/>
      <c r="M36" s="1"/>
      <c r="N36" s="1"/>
      <c r="O36" s="42"/>
    </row>
    <row r="37" spans="1:15" x14ac:dyDescent="0.25">
      <c r="A37" s="56" t="s">
        <v>105</v>
      </c>
      <c r="B37" s="58">
        <v>10077.519999999997</v>
      </c>
      <c r="D37" s="56" t="s">
        <v>93</v>
      </c>
      <c r="E37" s="57">
        <v>3456.97</v>
      </c>
      <c r="G37" s="60" t="s">
        <v>1266</v>
      </c>
      <c r="H37" s="57">
        <v>2529.059999999999</v>
      </c>
      <c r="J37" s="1"/>
      <c r="K37" s="1"/>
      <c r="L37" s="1"/>
      <c r="M37" s="1"/>
      <c r="N37" s="1"/>
      <c r="O37" s="42"/>
    </row>
    <row r="38" spans="1:15" x14ac:dyDescent="0.25">
      <c r="A38" s="56" t="s">
        <v>74</v>
      </c>
      <c r="B38" s="58">
        <v>10059.270000000002</v>
      </c>
      <c r="D38" s="56" t="s">
        <v>76</v>
      </c>
      <c r="E38" s="57">
        <v>3389.860000000001</v>
      </c>
      <c r="G38" s="60" t="s">
        <v>1267</v>
      </c>
      <c r="H38" s="57">
        <v>3170.4799999999977</v>
      </c>
      <c r="J38" s="1"/>
      <c r="K38" s="1"/>
      <c r="L38" s="1"/>
      <c r="M38" s="1"/>
      <c r="N38" s="1"/>
      <c r="O38" s="42"/>
    </row>
    <row r="39" spans="1:15" x14ac:dyDescent="0.25">
      <c r="A39" s="56" t="s">
        <v>137</v>
      </c>
      <c r="B39" s="58">
        <v>7206.239999999998</v>
      </c>
      <c r="D39" s="56" t="s">
        <v>85</v>
      </c>
      <c r="E39" s="57">
        <v>3340.2500000000036</v>
      </c>
      <c r="G39" s="60" t="s">
        <v>1268</v>
      </c>
      <c r="H39" s="57">
        <v>2194.56</v>
      </c>
      <c r="J39" s="1"/>
      <c r="K39" s="1"/>
      <c r="L39" s="1"/>
      <c r="M39" s="1"/>
      <c r="N39" s="1"/>
      <c r="O39" s="42"/>
    </row>
    <row r="40" spans="1:15" x14ac:dyDescent="0.25">
      <c r="A40" s="56" t="s">
        <v>165</v>
      </c>
      <c r="B40" s="58">
        <v>4943.4599999999982</v>
      </c>
      <c r="D40" s="56" t="s">
        <v>1260</v>
      </c>
      <c r="E40" s="57">
        <v>20066.53000000001</v>
      </c>
      <c r="G40" s="60" t="s">
        <v>1269</v>
      </c>
      <c r="H40" s="57">
        <v>2892.1399999999994</v>
      </c>
      <c r="J40" s="1"/>
      <c r="K40" s="1"/>
      <c r="L40" s="1"/>
      <c r="M40" s="1"/>
      <c r="N40" s="1"/>
      <c r="O40" s="42"/>
    </row>
    <row r="41" spans="1:15" x14ac:dyDescent="0.25">
      <c r="A41" s="56" t="s">
        <v>170</v>
      </c>
      <c r="B41" s="58">
        <v>3588.81</v>
      </c>
      <c r="G41" s="60" t="s">
        <v>1270</v>
      </c>
      <c r="H41" s="57">
        <v>2578.5399999999995</v>
      </c>
      <c r="J41" s="1"/>
      <c r="K41" s="1"/>
      <c r="L41" s="1"/>
      <c r="M41" s="1"/>
      <c r="N41" s="1"/>
      <c r="O41" s="42"/>
    </row>
    <row r="42" spans="1:15" x14ac:dyDescent="0.25">
      <c r="A42" s="56" t="s">
        <v>175</v>
      </c>
      <c r="B42" s="58">
        <v>3566.97</v>
      </c>
      <c r="G42" s="60" t="s">
        <v>1271</v>
      </c>
      <c r="H42" s="57">
        <v>2582.9899999999984</v>
      </c>
      <c r="J42" s="1"/>
      <c r="K42" s="1"/>
      <c r="L42" s="1"/>
      <c r="M42" s="1"/>
      <c r="N42" s="1"/>
      <c r="O42" s="42"/>
    </row>
    <row r="43" spans="1:15" x14ac:dyDescent="0.25">
      <c r="A43" s="56" t="s">
        <v>238</v>
      </c>
      <c r="B43" s="58">
        <v>3261.66</v>
      </c>
      <c r="G43" s="60" t="s">
        <v>1272</v>
      </c>
      <c r="H43" s="57">
        <v>2440.9999999999991</v>
      </c>
      <c r="J43" s="1"/>
      <c r="K43" s="1"/>
      <c r="L43" s="1"/>
      <c r="M43" s="1"/>
      <c r="N43" s="1"/>
      <c r="O43" s="42"/>
    </row>
    <row r="44" spans="1:15" x14ac:dyDescent="0.25">
      <c r="A44" s="56" t="s">
        <v>194</v>
      </c>
      <c r="B44" s="58">
        <v>1075.22</v>
      </c>
      <c r="G44" s="60" t="s">
        <v>1273</v>
      </c>
      <c r="H44" s="57">
        <v>4160.8699999999963</v>
      </c>
      <c r="J44" s="1"/>
      <c r="K44" s="1"/>
      <c r="L44" s="1"/>
      <c r="M44" s="1"/>
      <c r="N44" s="1"/>
      <c r="O44" s="42"/>
    </row>
    <row r="45" spans="1:15" x14ac:dyDescent="0.25">
      <c r="A45" s="56" t="s">
        <v>126</v>
      </c>
      <c r="B45" s="58">
        <v>734.38000000000011</v>
      </c>
      <c r="G45" s="60" t="s">
        <v>1274</v>
      </c>
      <c r="H45" s="57">
        <v>3408.8499999999976</v>
      </c>
      <c r="J45" s="1"/>
      <c r="K45" s="1"/>
      <c r="L45" s="1"/>
      <c r="M45" s="1"/>
      <c r="N45" s="1"/>
      <c r="O45" s="42"/>
    </row>
    <row r="46" spans="1:15" x14ac:dyDescent="0.25">
      <c r="A46" s="56" t="s">
        <v>1260</v>
      </c>
      <c r="B46" s="58">
        <v>67938.499999999971</v>
      </c>
      <c r="G46" s="60" t="s">
        <v>1275</v>
      </c>
      <c r="H46" s="57">
        <v>4028.3899999999976</v>
      </c>
      <c r="J46" s="1"/>
      <c r="K46" s="1"/>
      <c r="L46" s="1"/>
      <c r="M46" s="1"/>
      <c r="N46" s="1"/>
      <c r="O46" s="42"/>
    </row>
    <row r="47" spans="1:15" x14ac:dyDescent="0.25">
      <c r="G47" s="60" t="s">
        <v>1276</v>
      </c>
      <c r="H47" s="57">
        <v>2003.4700000000003</v>
      </c>
      <c r="J47" s="1"/>
      <c r="K47" s="1"/>
      <c r="L47" s="1"/>
      <c r="M47" s="1"/>
      <c r="N47" s="1"/>
      <c r="O47" s="42"/>
    </row>
    <row r="48" spans="1:15" x14ac:dyDescent="0.25">
      <c r="G48" s="56" t="s">
        <v>1264</v>
      </c>
      <c r="H48" s="57">
        <v>33117.9</v>
      </c>
      <c r="J48" s="1"/>
      <c r="K48" s="1"/>
      <c r="L48" s="1"/>
      <c r="M48" s="1"/>
      <c r="N48" s="1"/>
      <c r="O48" s="42"/>
    </row>
    <row r="49" spans="1:15" x14ac:dyDescent="0.25">
      <c r="G49" s="60" t="s">
        <v>1265</v>
      </c>
      <c r="H49" s="57">
        <v>2542.27</v>
      </c>
      <c r="J49" s="1"/>
      <c r="K49" s="1"/>
      <c r="L49" s="1"/>
      <c r="M49" s="1"/>
      <c r="N49" s="1"/>
      <c r="O49" s="42"/>
    </row>
    <row r="50" spans="1:15" x14ac:dyDescent="0.25">
      <c r="A50" s="55" t="s">
        <v>1259</v>
      </c>
      <c r="B50" t="s">
        <v>1166</v>
      </c>
      <c r="C50" t="s">
        <v>1169</v>
      </c>
      <c r="E50" s="55" t="s">
        <v>1259</v>
      </c>
      <c r="F50" t="s">
        <v>1166</v>
      </c>
      <c r="G50" s="60" t="s">
        <v>1266</v>
      </c>
      <c r="H50" s="57">
        <v>1444.7500000000005</v>
      </c>
      <c r="J50" s="1"/>
      <c r="K50" s="1"/>
      <c r="L50" s="1"/>
      <c r="M50" s="1"/>
      <c r="N50" s="1"/>
      <c r="O50" s="42"/>
    </row>
    <row r="51" spans="1:15" x14ac:dyDescent="0.25">
      <c r="A51" s="56" t="s">
        <v>293</v>
      </c>
      <c r="B51" s="57">
        <v>4397.7199999999993</v>
      </c>
      <c r="C51" s="57">
        <v>960.9899999999999</v>
      </c>
      <c r="E51" s="56" t="s">
        <v>96</v>
      </c>
      <c r="F51" s="57">
        <v>1865.6</v>
      </c>
      <c r="G51" s="60" t="s">
        <v>1267</v>
      </c>
      <c r="H51" s="57">
        <v>2905.51</v>
      </c>
      <c r="J51" s="1"/>
      <c r="K51" s="1"/>
      <c r="L51" s="1"/>
      <c r="M51" s="1"/>
      <c r="N51" s="1"/>
      <c r="O51" s="42"/>
    </row>
    <row r="52" spans="1:15" x14ac:dyDescent="0.25">
      <c r="A52" s="56" t="s">
        <v>143</v>
      </c>
      <c r="B52" s="57">
        <v>4146.12</v>
      </c>
      <c r="C52" s="57">
        <v>856.25999999999988</v>
      </c>
      <c r="D52" s="1"/>
      <c r="E52" s="56" t="s">
        <v>339</v>
      </c>
      <c r="F52" s="57">
        <v>1126.8399999999999</v>
      </c>
      <c r="G52" s="60" t="s">
        <v>1268</v>
      </c>
      <c r="H52" s="57">
        <v>2225.2900000000004</v>
      </c>
      <c r="I52" s="1"/>
      <c r="J52" s="1"/>
      <c r="K52" s="1"/>
      <c r="L52" s="1"/>
      <c r="M52" s="1"/>
      <c r="N52" s="1"/>
      <c r="O52" s="42"/>
    </row>
    <row r="53" spans="1:15" x14ac:dyDescent="0.25">
      <c r="A53" s="56" t="s">
        <v>259</v>
      </c>
      <c r="B53" s="57">
        <v>4056.59</v>
      </c>
      <c r="C53" s="57">
        <v>650.17999999999995</v>
      </c>
      <c r="D53" s="1"/>
      <c r="E53" s="56" t="s">
        <v>163</v>
      </c>
      <c r="F53" s="57">
        <v>1039.1900000000003</v>
      </c>
      <c r="G53" s="60" t="s">
        <v>1269</v>
      </c>
      <c r="H53" s="57">
        <v>3362.2200000000003</v>
      </c>
      <c r="I53" s="1"/>
      <c r="J53" s="1"/>
      <c r="K53" s="1"/>
      <c r="L53" s="1"/>
      <c r="M53" s="1"/>
      <c r="N53" s="1"/>
      <c r="O53" s="42"/>
    </row>
    <row r="54" spans="1:15" x14ac:dyDescent="0.25">
      <c r="A54" s="56" t="s">
        <v>195</v>
      </c>
      <c r="B54" s="57">
        <v>3975.5699999999997</v>
      </c>
      <c r="C54" s="57">
        <v>744.73</v>
      </c>
      <c r="D54" s="1"/>
      <c r="E54" s="56" t="s">
        <v>154</v>
      </c>
      <c r="F54" s="57">
        <v>1438.19</v>
      </c>
      <c r="G54" s="60" t="s">
        <v>1270</v>
      </c>
      <c r="H54" s="57">
        <v>3520.0100000000007</v>
      </c>
      <c r="I54" s="1"/>
      <c r="J54" s="1"/>
      <c r="K54" s="1"/>
      <c r="L54" s="1"/>
      <c r="M54" s="1"/>
      <c r="N54" s="1"/>
      <c r="O54" s="42"/>
    </row>
    <row r="55" spans="1:15" x14ac:dyDescent="0.25">
      <c r="A55" s="56" t="s">
        <v>92</v>
      </c>
      <c r="B55" s="57">
        <v>3880.01</v>
      </c>
      <c r="C55" s="57">
        <v>1101.5199999999998</v>
      </c>
      <c r="D55" s="1"/>
      <c r="E55" s="56" t="s">
        <v>178</v>
      </c>
      <c r="F55" s="57">
        <v>971.29</v>
      </c>
      <c r="G55" s="60" t="s">
        <v>1271</v>
      </c>
      <c r="H55" s="57">
        <v>2161.1800000000007</v>
      </c>
      <c r="I55" s="1"/>
      <c r="J55" s="1"/>
      <c r="K55" s="1"/>
      <c r="L55" s="1"/>
      <c r="M55" s="1"/>
      <c r="N55" s="1"/>
      <c r="O55" s="42"/>
    </row>
    <row r="56" spans="1:15" x14ac:dyDescent="0.25">
      <c r="A56" s="56" t="s">
        <v>230</v>
      </c>
      <c r="B56" s="57">
        <v>3512.6599999999994</v>
      </c>
      <c r="C56" s="57">
        <v>1149.6200000000006</v>
      </c>
      <c r="D56" s="1"/>
      <c r="E56" s="56" t="s">
        <v>246</v>
      </c>
      <c r="F56" s="57">
        <v>1193.8599999999999</v>
      </c>
      <c r="G56" s="60" t="s">
        <v>1272</v>
      </c>
      <c r="H56" s="57">
        <v>1929.6200000000003</v>
      </c>
      <c r="I56" s="1"/>
      <c r="J56" s="1"/>
      <c r="K56" s="1"/>
      <c r="L56" s="1"/>
      <c r="M56" s="1"/>
      <c r="N56" s="1"/>
      <c r="O56" s="42"/>
    </row>
    <row r="57" spans="1:15" x14ac:dyDescent="0.25">
      <c r="A57" s="56" t="s">
        <v>226</v>
      </c>
      <c r="B57" s="57">
        <v>3297.2499999999991</v>
      </c>
      <c r="C57" s="57">
        <v>935.84000000000015</v>
      </c>
      <c r="D57" s="1"/>
      <c r="E57" s="56" t="s">
        <v>468</v>
      </c>
      <c r="F57" s="57">
        <v>1313.0700000000002</v>
      </c>
      <c r="G57" s="60" t="s">
        <v>1273</v>
      </c>
      <c r="H57" s="57">
        <v>1692.93</v>
      </c>
      <c r="I57" s="1"/>
      <c r="J57" s="1"/>
      <c r="K57" s="1"/>
      <c r="L57" s="1"/>
      <c r="M57" s="1"/>
      <c r="N57" s="1"/>
      <c r="O57" s="42"/>
    </row>
    <row r="58" spans="1:15" x14ac:dyDescent="0.25">
      <c r="A58" s="56" t="s">
        <v>132</v>
      </c>
      <c r="B58" s="57">
        <v>2886.059999999999</v>
      </c>
      <c r="C58" s="57">
        <v>684.59999999999991</v>
      </c>
      <c r="D58" s="1"/>
      <c r="E58" s="56" t="s">
        <v>374</v>
      </c>
      <c r="F58" s="57">
        <v>1543.3000000000006</v>
      </c>
      <c r="G58" s="60" t="s">
        <v>1274</v>
      </c>
      <c r="H58" s="57">
        <v>3263.84</v>
      </c>
      <c r="I58" s="1"/>
      <c r="J58" s="1"/>
      <c r="K58" s="1"/>
      <c r="L58" s="1"/>
      <c r="M58" s="1"/>
      <c r="N58" s="1"/>
      <c r="O58" s="42"/>
    </row>
    <row r="59" spans="1:15" x14ac:dyDescent="0.25">
      <c r="A59" s="56" t="s">
        <v>184</v>
      </c>
      <c r="B59" s="57">
        <v>2809.2499999999995</v>
      </c>
      <c r="C59" s="57">
        <v>429.07000000000005</v>
      </c>
      <c r="D59" s="1"/>
      <c r="E59" s="56" t="s">
        <v>297</v>
      </c>
      <c r="F59" s="57">
        <v>1457.8700000000001</v>
      </c>
      <c r="G59" s="60" t="s">
        <v>1275</v>
      </c>
      <c r="H59" s="57">
        <v>3920.0699999999988</v>
      </c>
      <c r="I59" s="1"/>
      <c r="J59" s="1"/>
      <c r="K59" s="1"/>
      <c r="L59" s="1"/>
      <c r="M59" s="1"/>
      <c r="N59" s="1"/>
      <c r="O59" s="42"/>
    </row>
    <row r="60" spans="1:15" x14ac:dyDescent="0.25">
      <c r="A60" s="56" t="s">
        <v>207</v>
      </c>
      <c r="B60" s="57">
        <v>2802.2400000000002</v>
      </c>
      <c r="C60" s="57">
        <v>609.30999999999983</v>
      </c>
      <c r="D60" s="1"/>
      <c r="E60" s="56" t="s">
        <v>131</v>
      </c>
      <c r="F60" s="57">
        <v>1531.6000000000001</v>
      </c>
      <c r="G60" s="60" t="s">
        <v>1276</v>
      </c>
      <c r="H60" s="57">
        <v>4150.2099999999991</v>
      </c>
      <c r="I60" s="1"/>
      <c r="J60" s="1"/>
      <c r="K60" s="1"/>
      <c r="L60" s="1"/>
      <c r="M60" s="1"/>
      <c r="N60" s="1"/>
      <c r="O60" s="42"/>
    </row>
    <row r="61" spans="1:15" x14ac:dyDescent="0.25">
      <c r="A61" s="56" t="s">
        <v>188</v>
      </c>
      <c r="B61" s="57">
        <v>2752.3</v>
      </c>
      <c r="C61" s="57">
        <v>656.51</v>
      </c>
      <c r="D61" s="1"/>
      <c r="E61" s="56" t="s">
        <v>1260</v>
      </c>
      <c r="F61" s="57">
        <v>13480.810000000001</v>
      </c>
      <c r="G61" s="56" t="s">
        <v>1260</v>
      </c>
      <c r="H61" s="57">
        <v>67938.499999999985</v>
      </c>
      <c r="I61" s="1"/>
      <c r="J61" s="1"/>
      <c r="K61" s="1"/>
      <c r="L61" s="1"/>
      <c r="M61" s="1"/>
      <c r="N61" s="1"/>
      <c r="O61" s="42"/>
    </row>
    <row r="62" spans="1:15" x14ac:dyDescent="0.25">
      <c r="A62" s="56" t="s">
        <v>322</v>
      </c>
      <c r="B62" s="57">
        <v>2427.4200000000005</v>
      </c>
      <c r="C62" s="57">
        <v>658.97</v>
      </c>
      <c r="D62" s="1"/>
      <c r="H62" s="1"/>
      <c r="I62" s="1"/>
      <c r="J62" s="1"/>
      <c r="K62" s="1"/>
      <c r="L62" s="1"/>
      <c r="M62" s="1"/>
      <c r="N62" s="1"/>
      <c r="O62" s="42"/>
    </row>
    <row r="63" spans="1:15" x14ac:dyDescent="0.25">
      <c r="A63" s="56" t="s">
        <v>319</v>
      </c>
      <c r="B63" s="57">
        <v>2415.4499999999994</v>
      </c>
      <c r="C63" s="57">
        <v>723.04999999999984</v>
      </c>
      <c r="D63" s="1"/>
      <c r="H63" s="1"/>
      <c r="I63" s="1"/>
      <c r="J63" s="1"/>
      <c r="K63" s="1"/>
      <c r="L63" s="1"/>
      <c r="M63" s="1"/>
      <c r="N63" s="1"/>
      <c r="O63" s="42"/>
    </row>
    <row r="64" spans="1:15" x14ac:dyDescent="0.25">
      <c r="A64" s="56" t="s">
        <v>139</v>
      </c>
      <c r="B64" s="57">
        <v>2341.3000000000002</v>
      </c>
      <c r="C64" s="57">
        <v>726.90999999999985</v>
      </c>
      <c r="D64" s="1"/>
      <c r="H64" s="1"/>
      <c r="I64" s="1"/>
      <c r="J64" s="1"/>
      <c r="K64" s="1"/>
      <c r="L64" s="1"/>
      <c r="M64" s="1"/>
      <c r="N64" s="1"/>
      <c r="O64" s="42"/>
    </row>
    <row r="65" spans="1:15" x14ac:dyDescent="0.25">
      <c r="A65" s="56" t="s">
        <v>179</v>
      </c>
      <c r="B65" s="57">
        <v>2293.4599999999991</v>
      </c>
      <c r="C65" s="57">
        <v>910.0200000000001</v>
      </c>
      <c r="D65" s="1"/>
      <c r="E65" s="55" t="s">
        <v>1259</v>
      </c>
      <c r="F65" t="s">
        <v>1166</v>
      </c>
      <c r="G65" t="s">
        <v>1169</v>
      </c>
      <c r="H65" s="1"/>
      <c r="I65" s="1"/>
      <c r="J65" s="1"/>
      <c r="K65" s="1"/>
      <c r="L65" s="1"/>
      <c r="M65" s="1"/>
      <c r="N65" s="1"/>
      <c r="O65" s="42"/>
    </row>
    <row r="66" spans="1:15" x14ac:dyDescent="0.25">
      <c r="A66" s="56" t="s">
        <v>75</v>
      </c>
      <c r="B66" s="57">
        <v>2159.3999999999996</v>
      </c>
      <c r="C66" s="57">
        <v>925.65999999999974</v>
      </c>
      <c r="D66" s="1"/>
      <c r="E66" s="56" t="s">
        <v>78</v>
      </c>
      <c r="F66" s="57">
        <v>31761.279999999955</v>
      </c>
      <c r="G66" s="57">
        <v>10048.249999999987</v>
      </c>
      <c r="H66" s="1"/>
      <c r="I66" s="1"/>
      <c r="J66" s="1"/>
      <c r="K66" s="1"/>
      <c r="L66" s="1"/>
      <c r="M66" s="1"/>
      <c r="N66" s="1"/>
      <c r="O66" s="42"/>
    </row>
    <row r="67" spans="1:15" x14ac:dyDescent="0.25">
      <c r="A67" s="56" t="s">
        <v>106</v>
      </c>
      <c r="B67" s="57">
        <v>1923.1899999999998</v>
      </c>
      <c r="C67" s="57">
        <v>507</v>
      </c>
      <c r="D67" s="1"/>
      <c r="E67" s="56" t="s">
        <v>112</v>
      </c>
      <c r="F67" s="57">
        <v>20193.259999999969</v>
      </c>
      <c r="G67" s="57">
        <v>5734.2500000000009</v>
      </c>
      <c r="H67" s="1"/>
      <c r="I67" s="1"/>
      <c r="J67" s="1"/>
      <c r="K67" s="1"/>
      <c r="L67" s="1"/>
      <c r="M67" s="1"/>
      <c r="N67" s="1"/>
      <c r="O67" s="42"/>
    </row>
    <row r="68" spans="1:15" x14ac:dyDescent="0.25">
      <c r="A68" s="56" t="s">
        <v>189</v>
      </c>
      <c r="B68" s="57">
        <v>1875.1000000000004</v>
      </c>
      <c r="C68" s="57">
        <v>694.0200000000001</v>
      </c>
      <c r="D68" s="1"/>
      <c r="E68" s="56" t="s">
        <v>118</v>
      </c>
      <c r="F68" s="57">
        <v>9341.7599999999966</v>
      </c>
      <c r="G68" s="57">
        <v>2230.9999999999986</v>
      </c>
      <c r="H68" s="1"/>
      <c r="I68" s="1"/>
      <c r="J68" s="1"/>
      <c r="K68" s="1"/>
      <c r="L68" s="1"/>
      <c r="M68" s="1"/>
      <c r="N68" s="1"/>
      <c r="O68" s="42"/>
    </row>
    <row r="69" spans="1:15" x14ac:dyDescent="0.25">
      <c r="A69" s="56" t="s">
        <v>127</v>
      </c>
      <c r="B69" s="57">
        <v>1477.6800000000007</v>
      </c>
      <c r="C69" s="57">
        <v>545.2399999999999</v>
      </c>
      <c r="D69" s="1"/>
      <c r="E69" s="56" t="s">
        <v>233</v>
      </c>
      <c r="F69" s="57">
        <v>6642.2</v>
      </c>
      <c r="G69" s="57">
        <v>2053.0300000000002</v>
      </c>
      <c r="H69" s="1"/>
      <c r="I69" s="1"/>
      <c r="J69" s="1"/>
      <c r="K69" s="1"/>
      <c r="L69" s="1"/>
      <c r="M69" s="1"/>
      <c r="N69" s="1"/>
      <c r="O69" s="42"/>
    </row>
    <row r="70" spans="1:15" x14ac:dyDescent="0.25">
      <c r="A70" s="56" t="s">
        <v>138</v>
      </c>
      <c r="B70" s="57">
        <v>1374.8400000000004</v>
      </c>
      <c r="C70" s="57">
        <v>447.68999999999988</v>
      </c>
      <c r="D70" s="17"/>
      <c r="E70" s="56" t="s">
        <v>1260</v>
      </c>
      <c r="F70" s="57">
        <v>67938.499999999913</v>
      </c>
      <c r="G70" s="57">
        <v>20066.529999999988</v>
      </c>
      <c r="H70" s="17"/>
      <c r="I70" s="17"/>
      <c r="J70" s="17"/>
      <c r="K70" s="17"/>
      <c r="L70" s="17"/>
      <c r="M70" s="17"/>
      <c r="N70" s="17"/>
      <c r="O70" s="43"/>
    </row>
    <row r="71" spans="1:15" x14ac:dyDescent="0.25">
      <c r="A71" s="56" t="s">
        <v>306</v>
      </c>
      <c r="B71" s="57">
        <v>1373.0000000000005</v>
      </c>
      <c r="C71" s="57">
        <v>622.72</v>
      </c>
      <c r="D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56" t="s">
        <v>213</v>
      </c>
      <c r="B72" s="57">
        <v>1331.3100000000002</v>
      </c>
      <c r="C72" s="57">
        <v>529.42000000000007</v>
      </c>
      <c r="D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56" t="s">
        <v>98</v>
      </c>
      <c r="B73" s="57">
        <v>1285.71</v>
      </c>
      <c r="C73" s="57">
        <v>535.30000000000007</v>
      </c>
      <c r="E73" s="55" t="s">
        <v>1259</v>
      </c>
      <c r="F73" t="s">
        <v>1180</v>
      </c>
    </row>
    <row r="74" spans="1:15" x14ac:dyDescent="0.25">
      <c r="A74" s="56" t="s">
        <v>155</v>
      </c>
      <c r="B74" s="57">
        <v>1236.5099999999995</v>
      </c>
      <c r="C74" s="57">
        <v>577.33000000000004</v>
      </c>
      <c r="E74" s="56" t="s">
        <v>117</v>
      </c>
      <c r="F74">
        <v>294</v>
      </c>
    </row>
    <row r="75" spans="1:15" x14ac:dyDescent="0.25">
      <c r="A75" s="56" t="s">
        <v>116</v>
      </c>
      <c r="B75" s="57">
        <v>1219.4299999999996</v>
      </c>
      <c r="C75" s="57">
        <v>621.49000000000012</v>
      </c>
      <c r="E75" s="56" t="s">
        <v>86</v>
      </c>
      <c r="F75">
        <v>272</v>
      </c>
    </row>
    <row r="76" spans="1:15" x14ac:dyDescent="0.25">
      <c r="A76" s="56" t="s">
        <v>157</v>
      </c>
      <c r="B76" s="57">
        <v>1163.3599999999999</v>
      </c>
      <c r="C76" s="57">
        <v>554.67999999999995</v>
      </c>
      <c r="E76" s="56" t="s">
        <v>77</v>
      </c>
      <c r="F76">
        <v>155</v>
      </c>
    </row>
    <row r="77" spans="1:15" x14ac:dyDescent="0.25">
      <c r="A77" s="56" t="s">
        <v>151</v>
      </c>
      <c r="B77" s="57">
        <v>1155.3799999999997</v>
      </c>
      <c r="C77" s="57">
        <v>563.4799999999999</v>
      </c>
      <c r="E77" s="56" t="s">
        <v>111</v>
      </c>
      <c r="F77">
        <v>101</v>
      </c>
    </row>
    <row r="78" spans="1:15" x14ac:dyDescent="0.25">
      <c r="A78" s="56" t="s">
        <v>110</v>
      </c>
      <c r="B78" s="57">
        <v>897.2399999999999</v>
      </c>
      <c r="C78" s="57">
        <v>446.87000000000018</v>
      </c>
      <c r="E78" s="56" t="s">
        <v>315</v>
      </c>
      <c r="F78">
        <v>47</v>
      </c>
    </row>
    <row r="79" spans="1:15" x14ac:dyDescent="0.25">
      <c r="A79" s="56" t="s">
        <v>84</v>
      </c>
      <c r="B79" s="57">
        <v>777.38999999999987</v>
      </c>
      <c r="C79" s="57">
        <v>400.82999999999987</v>
      </c>
      <c r="E79" s="56" t="s">
        <v>100</v>
      </c>
      <c r="F79">
        <v>21</v>
      </c>
    </row>
    <row r="80" spans="1:15" x14ac:dyDescent="0.25">
      <c r="A80" s="56" t="s">
        <v>202</v>
      </c>
      <c r="B80" s="57">
        <v>695.56</v>
      </c>
      <c r="C80" s="57">
        <v>297.21999999999986</v>
      </c>
      <c r="E80" s="56" t="s">
        <v>279</v>
      </c>
      <c r="F80">
        <v>10</v>
      </c>
    </row>
    <row r="81" spans="1:6" x14ac:dyDescent="0.25">
      <c r="A81" s="56" t="s">
        <v>1260</v>
      </c>
      <c r="B81" s="57">
        <v>67938.5</v>
      </c>
      <c r="C81" s="57">
        <v>20066.530000000002</v>
      </c>
      <c r="E81" s="56" t="s">
        <v>1260</v>
      </c>
      <c r="F81">
        <v>900</v>
      </c>
    </row>
  </sheetData>
  <conditionalFormatting sqref="A6:E17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7A64B"/>
  </sheetPr>
  <dimension ref="A1:N38"/>
  <sheetViews>
    <sheetView showGridLines="0" zoomScale="85" zoomScaleNormal="85" workbookViewId="0">
      <selection activeCell="P28" sqref="P28"/>
    </sheetView>
  </sheetViews>
  <sheetFormatPr defaultRowHeight="15" x14ac:dyDescent="0.25"/>
  <cols>
    <col min="1" max="1" width="3" customWidth="1"/>
    <col min="2" max="13" width="14" customWidth="1"/>
    <col min="14" max="14" width="3" customWidth="1"/>
  </cols>
  <sheetData>
    <row r="1" spans="1:14" ht="27" customHeight="1" x14ac:dyDescent="0.25">
      <c r="A1" s="2" t="s">
        <v>1184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1.95" customHeight="1" x14ac:dyDescent="0.25">
      <c r="A2" s="3" t="s">
        <v>1284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1.95" customHeight="1" x14ac:dyDescent="0.25">
      <c r="A4" s="1"/>
      <c r="B4" s="65" t="s">
        <v>1185</v>
      </c>
      <c r="C4" s="66" t="s">
        <v>1185</v>
      </c>
      <c r="D4" s="67" t="s">
        <v>1185</v>
      </c>
      <c r="E4" s="65" t="s">
        <v>1186</v>
      </c>
      <c r="F4" s="66" t="s">
        <v>1186</v>
      </c>
      <c r="G4" s="67" t="s">
        <v>1186</v>
      </c>
      <c r="H4" s="65" t="s">
        <v>1187</v>
      </c>
      <c r="I4" s="66" t="s">
        <v>1187</v>
      </c>
      <c r="J4" s="67" t="s">
        <v>1187</v>
      </c>
      <c r="K4" s="65" t="s">
        <v>1188</v>
      </c>
      <c r="L4" s="66" t="s">
        <v>1188</v>
      </c>
      <c r="M4" s="67" t="s">
        <v>1188</v>
      </c>
      <c r="N4" s="1"/>
    </row>
    <row r="5" spans="1:14" ht="27" customHeight="1" x14ac:dyDescent="0.25">
      <c r="A5" s="1"/>
      <c r="B5" s="75">
        <f>Analysis!D8</f>
        <v>67938.500000000058</v>
      </c>
      <c r="C5" s="76"/>
      <c r="D5" s="77"/>
      <c r="E5" s="75">
        <f>Analysis!D10</f>
        <v>20066.529999999988</v>
      </c>
      <c r="F5" s="76"/>
      <c r="G5" s="77"/>
      <c r="H5" s="81">
        <f>Analysis!D11</f>
        <v>0.29536315932792112</v>
      </c>
      <c r="I5" s="82"/>
      <c r="J5" s="83"/>
      <c r="K5" s="68">
        <f>Analysis!D6</f>
        <v>900</v>
      </c>
      <c r="L5" s="69"/>
      <c r="M5" s="70"/>
      <c r="N5" s="1"/>
    </row>
    <row r="6" spans="1:14" ht="27" customHeight="1" x14ac:dyDescent="0.25">
      <c r="A6" s="1"/>
      <c r="B6" s="78"/>
      <c r="C6" s="79"/>
      <c r="D6" s="80"/>
      <c r="E6" s="78"/>
      <c r="F6" s="79"/>
      <c r="G6" s="80"/>
      <c r="H6" s="84"/>
      <c r="I6" s="85"/>
      <c r="J6" s="86"/>
      <c r="K6" s="71"/>
      <c r="L6" s="72"/>
      <c r="M6" s="73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48" t="s">
        <v>1189</v>
      </c>
      <c r="C9" s="26"/>
      <c r="D9" s="26"/>
      <c r="E9" s="26"/>
      <c r="F9" s="26"/>
      <c r="G9" s="27"/>
      <c r="H9" s="48" t="s">
        <v>1190</v>
      </c>
      <c r="I9" s="26"/>
      <c r="J9" s="26"/>
      <c r="K9" s="26"/>
      <c r="L9" s="26"/>
      <c r="M9" s="27"/>
      <c r="N9" s="1"/>
    </row>
    <row r="10" spans="1:14" x14ac:dyDescent="0.25">
      <c r="A10" s="1"/>
      <c r="B10" s="49"/>
      <c r="C10" s="10"/>
      <c r="D10" s="10"/>
      <c r="E10" s="10"/>
      <c r="F10" s="10"/>
      <c r="G10" s="28"/>
      <c r="H10" s="49"/>
      <c r="I10" s="10"/>
      <c r="J10" s="10"/>
      <c r="K10" s="10"/>
      <c r="L10" s="10"/>
      <c r="M10" s="28"/>
      <c r="N10" s="1"/>
    </row>
    <row r="11" spans="1:14" x14ac:dyDescent="0.25">
      <c r="A11" s="1"/>
      <c r="B11" s="44"/>
      <c r="C11" s="10"/>
      <c r="D11" s="10"/>
      <c r="E11" s="10"/>
      <c r="F11" s="10"/>
      <c r="G11" s="28"/>
      <c r="H11" s="44"/>
      <c r="I11" s="10"/>
      <c r="J11" s="10"/>
      <c r="K11" s="10"/>
      <c r="L11" s="10"/>
      <c r="M11" s="28"/>
      <c r="N11" s="1"/>
    </row>
    <row r="12" spans="1:14" x14ac:dyDescent="0.25">
      <c r="A12" s="1"/>
      <c r="B12" s="44"/>
      <c r="C12" s="10"/>
      <c r="D12" s="10"/>
      <c r="E12" s="10"/>
      <c r="F12" s="10"/>
      <c r="G12" s="28"/>
      <c r="H12" s="44"/>
      <c r="I12" s="10"/>
      <c r="J12" s="10"/>
      <c r="K12" s="10"/>
      <c r="L12" s="10"/>
      <c r="M12" s="28"/>
      <c r="N12" s="1"/>
    </row>
    <row r="13" spans="1:14" x14ac:dyDescent="0.25">
      <c r="A13" s="1"/>
      <c r="B13" s="44"/>
      <c r="C13" s="10"/>
      <c r="D13" s="10"/>
      <c r="E13" s="10"/>
      <c r="F13" s="10"/>
      <c r="G13" s="28"/>
      <c r="H13" s="44"/>
      <c r="I13" s="10"/>
      <c r="J13" s="10"/>
      <c r="K13" s="10"/>
      <c r="L13" s="10"/>
      <c r="M13" s="28"/>
      <c r="N13" s="1"/>
    </row>
    <row r="14" spans="1:14" x14ac:dyDescent="0.25">
      <c r="A14" s="1"/>
      <c r="B14" s="44"/>
      <c r="C14" s="10"/>
      <c r="D14" s="10"/>
      <c r="E14" s="10"/>
      <c r="F14" s="10"/>
      <c r="G14" s="28"/>
      <c r="H14" s="44"/>
      <c r="I14" s="10"/>
      <c r="J14" s="10"/>
      <c r="K14" s="10"/>
      <c r="L14" s="10"/>
      <c r="M14" s="28"/>
      <c r="N14" s="1"/>
    </row>
    <row r="15" spans="1:14" x14ac:dyDescent="0.25">
      <c r="A15" s="1"/>
      <c r="B15" s="44"/>
      <c r="C15" s="10"/>
      <c r="D15" s="10"/>
      <c r="E15" s="10"/>
      <c r="F15" s="10"/>
      <c r="G15" s="28"/>
      <c r="H15" s="44"/>
      <c r="I15" s="10"/>
      <c r="J15" s="10"/>
      <c r="K15" s="10"/>
      <c r="L15" s="10"/>
      <c r="M15" s="28"/>
      <c r="N15" s="1"/>
    </row>
    <row r="16" spans="1:14" x14ac:dyDescent="0.25">
      <c r="A16" s="1"/>
      <c r="B16" s="44"/>
      <c r="C16" s="10"/>
      <c r="D16" s="10"/>
      <c r="E16" s="10"/>
      <c r="F16" s="10"/>
      <c r="G16" s="28"/>
      <c r="H16" s="44"/>
      <c r="I16" s="10"/>
      <c r="J16" s="10"/>
      <c r="K16" s="10"/>
      <c r="L16" s="10"/>
      <c r="M16" s="28"/>
      <c r="N16" s="1"/>
    </row>
    <row r="17" spans="1:14" x14ac:dyDescent="0.25">
      <c r="A17" s="1"/>
      <c r="B17" s="44"/>
      <c r="C17" s="10"/>
      <c r="D17" s="10"/>
      <c r="E17" s="10"/>
      <c r="F17" s="10"/>
      <c r="G17" s="28"/>
      <c r="H17" s="44"/>
      <c r="I17" s="10"/>
      <c r="J17" s="10"/>
      <c r="K17" s="10"/>
      <c r="L17" s="10"/>
      <c r="M17" s="28"/>
      <c r="N17" s="1"/>
    </row>
    <row r="18" spans="1:14" x14ac:dyDescent="0.25">
      <c r="A18" s="1"/>
      <c r="B18" s="44"/>
      <c r="C18" s="10"/>
      <c r="D18" s="10"/>
      <c r="E18" s="10"/>
      <c r="F18" s="10"/>
      <c r="G18" s="28"/>
      <c r="H18" s="44"/>
      <c r="I18" s="10"/>
      <c r="J18" s="10"/>
      <c r="K18" s="10"/>
      <c r="L18" s="10"/>
      <c r="M18" s="28"/>
      <c r="N18" s="1"/>
    </row>
    <row r="19" spans="1:14" x14ac:dyDescent="0.25">
      <c r="A19" s="1"/>
      <c r="B19" s="45"/>
      <c r="C19" s="46"/>
      <c r="D19" s="46"/>
      <c r="E19" s="46"/>
      <c r="F19" s="46"/>
      <c r="G19" s="47"/>
      <c r="H19" s="45"/>
      <c r="I19" s="46"/>
      <c r="J19" s="46"/>
      <c r="K19" s="46"/>
      <c r="L19" s="46"/>
      <c r="M19" s="47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48" t="s">
        <v>1191</v>
      </c>
      <c r="C22" s="26"/>
      <c r="D22" s="26"/>
      <c r="E22" s="26"/>
      <c r="F22" s="26"/>
      <c r="G22" s="27"/>
      <c r="H22" s="48" t="s">
        <v>1192</v>
      </c>
      <c r="I22" s="26"/>
      <c r="J22" s="26"/>
      <c r="K22" s="26"/>
      <c r="L22" s="26"/>
      <c r="M22" s="27"/>
      <c r="N22" s="1"/>
    </row>
    <row r="23" spans="1:14" x14ac:dyDescent="0.25">
      <c r="A23" s="1"/>
      <c r="B23" s="49"/>
      <c r="C23" s="10"/>
      <c r="D23" s="10"/>
      <c r="E23" s="10"/>
      <c r="F23" s="10"/>
      <c r="G23" s="28"/>
      <c r="H23" s="49"/>
      <c r="I23" s="10"/>
      <c r="J23" s="10"/>
      <c r="K23" s="10"/>
      <c r="L23" s="10"/>
      <c r="M23" s="28"/>
      <c r="N23" s="1"/>
    </row>
    <row r="24" spans="1:14" x14ac:dyDescent="0.25">
      <c r="A24" s="1"/>
      <c r="B24" s="44"/>
      <c r="C24" s="10"/>
      <c r="D24" s="10"/>
      <c r="E24" s="10"/>
      <c r="F24" s="10"/>
      <c r="G24" s="28"/>
      <c r="H24" s="44"/>
      <c r="I24" s="10"/>
      <c r="J24" s="10"/>
      <c r="K24" s="10"/>
      <c r="L24" s="10"/>
      <c r="M24" s="28"/>
      <c r="N24" s="1"/>
    </row>
    <row r="25" spans="1:14" x14ac:dyDescent="0.25">
      <c r="A25" s="1"/>
      <c r="B25" s="44"/>
      <c r="C25" s="10"/>
      <c r="D25" s="10"/>
      <c r="E25" s="10"/>
      <c r="F25" s="10"/>
      <c r="G25" s="28"/>
      <c r="H25" s="44"/>
      <c r="I25" s="10"/>
      <c r="J25" s="10"/>
      <c r="K25" s="10"/>
      <c r="L25" s="10"/>
      <c r="M25" s="28"/>
      <c r="N25" s="1"/>
    </row>
    <row r="26" spans="1:14" x14ac:dyDescent="0.25">
      <c r="A26" s="1"/>
      <c r="B26" s="44"/>
      <c r="C26" s="10"/>
      <c r="D26" s="10"/>
      <c r="E26" s="10"/>
      <c r="F26" s="10"/>
      <c r="G26" s="28"/>
      <c r="H26" s="44"/>
      <c r="I26" s="10"/>
      <c r="J26" s="10"/>
      <c r="K26" s="10"/>
      <c r="L26" s="10"/>
      <c r="M26" s="28"/>
      <c r="N26" s="1"/>
    </row>
    <row r="27" spans="1:14" x14ac:dyDescent="0.25">
      <c r="A27" s="1"/>
      <c r="B27" s="44"/>
      <c r="C27" s="10"/>
      <c r="D27" s="10"/>
      <c r="E27" s="10"/>
      <c r="F27" s="10"/>
      <c r="G27" s="28"/>
      <c r="H27" s="44"/>
      <c r="I27" s="10"/>
      <c r="J27" s="10"/>
      <c r="K27" s="10"/>
      <c r="L27" s="10"/>
      <c r="M27" s="28"/>
      <c r="N27" s="1"/>
    </row>
    <row r="28" spans="1:14" x14ac:dyDescent="0.25">
      <c r="A28" s="1"/>
      <c r="B28" s="44"/>
      <c r="C28" s="10"/>
      <c r="D28" s="10"/>
      <c r="E28" s="10"/>
      <c r="F28" s="10"/>
      <c r="G28" s="28"/>
      <c r="H28" s="44"/>
      <c r="I28" s="10"/>
      <c r="J28" s="10"/>
      <c r="K28" s="10"/>
      <c r="L28" s="10"/>
      <c r="M28" s="28"/>
      <c r="N28" s="1"/>
    </row>
    <row r="29" spans="1:14" x14ac:dyDescent="0.25">
      <c r="A29" s="1"/>
      <c r="B29" s="44"/>
      <c r="C29" s="10"/>
      <c r="D29" s="10"/>
      <c r="E29" s="10"/>
      <c r="F29" s="10"/>
      <c r="G29" s="28"/>
      <c r="H29" s="44"/>
      <c r="I29" s="10"/>
      <c r="J29" s="10"/>
      <c r="K29" s="10"/>
      <c r="L29" s="10"/>
      <c r="M29" s="28"/>
      <c r="N29" s="1"/>
    </row>
    <row r="30" spans="1:14" x14ac:dyDescent="0.25">
      <c r="A30" s="1"/>
      <c r="B30" s="44"/>
      <c r="C30" s="10"/>
      <c r="D30" s="10"/>
      <c r="E30" s="10"/>
      <c r="F30" s="10"/>
      <c r="G30" s="28"/>
      <c r="H30" s="44"/>
      <c r="I30" s="10"/>
      <c r="J30" s="10"/>
      <c r="K30" s="10"/>
      <c r="L30" s="10"/>
      <c r="M30" s="28"/>
      <c r="N30" s="1"/>
    </row>
    <row r="31" spans="1:14" x14ac:dyDescent="0.25">
      <c r="A31" s="1"/>
      <c r="B31" s="44"/>
      <c r="C31" s="10"/>
      <c r="D31" s="10"/>
      <c r="E31" s="10"/>
      <c r="F31" s="10"/>
      <c r="G31" s="28"/>
      <c r="H31" s="44"/>
      <c r="I31" s="10"/>
      <c r="J31" s="10"/>
      <c r="K31" s="10"/>
      <c r="L31" s="10"/>
      <c r="M31" s="28"/>
      <c r="N31" s="1"/>
    </row>
    <row r="32" spans="1:14" x14ac:dyDescent="0.25">
      <c r="A32" s="1"/>
      <c r="B32" s="45"/>
      <c r="C32" s="46"/>
      <c r="D32" s="46"/>
      <c r="E32" s="46"/>
      <c r="F32" s="46"/>
      <c r="G32" s="47"/>
      <c r="H32" s="45"/>
      <c r="I32" s="46"/>
      <c r="J32" s="46"/>
      <c r="K32" s="46"/>
      <c r="L32" s="46"/>
      <c r="M32" s="47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61" t="s">
        <v>1283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N35" s="1"/>
    </row>
    <row r="36" spans="1:14" ht="32.1" customHeight="1" x14ac:dyDescent="0.25">
      <c r="A36" s="1"/>
      <c r="B36" s="74"/>
      <c r="C36" s="74"/>
      <c r="D36" s="74"/>
      <c r="E36" s="62"/>
      <c r="F36" s="63"/>
      <c r="G36" s="63"/>
      <c r="H36" s="62"/>
      <c r="I36" s="63"/>
      <c r="J36" s="63"/>
      <c r="K36" s="62"/>
      <c r="L36" s="63"/>
      <c r="M36" s="63"/>
      <c r="N36" s="1"/>
    </row>
    <row r="37" spans="1:14" ht="32.1" customHeight="1" x14ac:dyDescent="0.25">
      <c r="A37" s="1"/>
      <c r="B37" s="62"/>
      <c r="C37" s="63"/>
      <c r="D37" s="63"/>
      <c r="E37" s="64"/>
      <c r="F37" s="64"/>
      <c r="G37" s="64"/>
      <c r="H37" s="64"/>
      <c r="I37" s="64"/>
      <c r="J37" s="64"/>
      <c r="K37" s="64"/>
      <c r="L37" s="64"/>
      <c r="M37" s="64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16">
    <mergeCell ref="B37:D37"/>
    <mergeCell ref="E37:G37"/>
    <mergeCell ref="H37:J37"/>
    <mergeCell ref="K37:M37"/>
    <mergeCell ref="K4:M4"/>
    <mergeCell ref="K5:M6"/>
    <mergeCell ref="B36:D36"/>
    <mergeCell ref="E36:G36"/>
    <mergeCell ref="H36:J36"/>
    <mergeCell ref="K36:M36"/>
    <mergeCell ref="B4:D4"/>
    <mergeCell ref="B5:D6"/>
    <mergeCell ref="E4:G4"/>
    <mergeCell ref="E5:G6"/>
    <mergeCell ref="H4:J4"/>
    <mergeCell ref="H5:J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A8B99"/>
  </sheetPr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0" customWidth="1"/>
    <col min="2" max="2" width="42" customWidth="1"/>
    <col min="3" max="3" width="17" customWidth="1"/>
    <col min="4" max="4" width="23" customWidth="1"/>
    <col min="5" max="5" width="25" customWidth="1"/>
    <col min="6" max="6" width="46" customWidth="1"/>
  </cols>
  <sheetData>
    <row r="1" spans="1:6" ht="27" customHeight="1" x14ac:dyDescent="0.25">
      <c r="A1" s="2" t="s">
        <v>1193</v>
      </c>
      <c r="B1" s="2"/>
      <c r="C1" s="2"/>
      <c r="D1" s="2"/>
      <c r="E1" s="2"/>
      <c r="F1" s="2"/>
    </row>
    <row r="2" spans="1:6" ht="21.95" customHeight="1" x14ac:dyDescent="0.25">
      <c r="A2" s="3" t="s">
        <v>1194</v>
      </c>
      <c r="B2" s="3"/>
      <c r="C2" s="3"/>
      <c r="D2" s="3"/>
      <c r="E2" s="3"/>
      <c r="F2" s="3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5" t="s">
        <v>1195</v>
      </c>
      <c r="B4" s="15" t="s">
        <v>1196</v>
      </c>
      <c r="C4" s="15" t="s">
        <v>1197</v>
      </c>
      <c r="D4" s="15" t="s">
        <v>1198</v>
      </c>
      <c r="E4" s="15" t="s">
        <v>1199</v>
      </c>
      <c r="F4" s="15" t="s">
        <v>1200</v>
      </c>
    </row>
    <row r="5" spans="1:6" ht="36" customHeight="1" x14ac:dyDescent="0.25">
      <c r="A5" s="50" t="s">
        <v>56</v>
      </c>
      <c r="B5" s="50" t="s">
        <v>1201</v>
      </c>
      <c r="C5" s="50" t="s">
        <v>1202</v>
      </c>
      <c r="D5" s="50" t="s">
        <v>1203</v>
      </c>
      <c r="E5" s="50" t="s">
        <v>71</v>
      </c>
      <c r="F5" s="50" t="s">
        <v>1204</v>
      </c>
    </row>
    <row r="6" spans="1:6" ht="36" customHeight="1" x14ac:dyDescent="0.25">
      <c r="A6" s="50" t="s">
        <v>57</v>
      </c>
      <c r="B6" s="50" t="s">
        <v>1205</v>
      </c>
      <c r="C6" s="50" t="s">
        <v>1206</v>
      </c>
      <c r="D6" s="50" t="s">
        <v>1207</v>
      </c>
      <c r="E6" s="51">
        <v>45292.5</v>
      </c>
      <c r="F6" s="50" t="s">
        <v>1208</v>
      </c>
    </row>
    <row r="7" spans="1:6" ht="36" customHeight="1" x14ac:dyDescent="0.25">
      <c r="A7" s="50" t="s">
        <v>58</v>
      </c>
      <c r="B7" s="50" t="s">
        <v>1209</v>
      </c>
      <c r="C7" s="50" t="s">
        <v>1202</v>
      </c>
      <c r="D7" s="50" t="s">
        <v>1203</v>
      </c>
      <c r="E7" s="50" t="s">
        <v>72</v>
      </c>
      <c r="F7" s="50" t="s">
        <v>1210</v>
      </c>
    </row>
    <row r="8" spans="1:6" ht="36" customHeight="1" x14ac:dyDescent="0.25">
      <c r="A8" s="50" t="s">
        <v>59</v>
      </c>
      <c r="B8" s="50" t="s">
        <v>1211</v>
      </c>
      <c r="C8" s="50" t="s">
        <v>1202</v>
      </c>
      <c r="D8" s="50" t="s">
        <v>1212</v>
      </c>
      <c r="E8" s="50" t="s">
        <v>73</v>
      </c>
      <c r="F8" s="50" t="s">
        <v>1213</v>
      </c>
    </row>
    <row r="9" spans="1:6" ht="36" customHeight="1" x14ac:dyDescent="0.25">
      <c r="A9" s="50" t="s">
        <v>60</v>
      </c>
      <c r="B9" s="50" t="s">
        <v>1214</v>
      </c>
      <c r="C9" s="50" t="s">
        <v>1202</v>
      </c>
      <c r="D9" s="50" t="s">
        <v>1215</v>
      </c>
      <c r="E9" s="50" t="s">
        <v>74</v>
      </c>
      <c r="F9" s="50" t="s">
        <v>1216</v>
      </c>
    </row>
    <row r="10" spans="1:6" ht="36" customHeight="1" x14ac:dyDescent="0.25">
      <c r="A10" s="50" t="s">
        <v>61</v>
      </c>
      <c r="B10" s="50" t="s">
        <v>1217</v>
      </c>
      <c r="C10" s="50" t="s">
        <v>1202</v>
      </c>
      <c r="D10" s="50" t="s">
        <v>1218</v>
      </c>
      <c r="E10" s="50" t="s">
        <v>74</v>
      </c>
      <c r="F10" s="50" t="s">
        <v>1219</v>
      </c>
    </row>
    <row r="11" spans="1:6" ht="36" customHeight="1" x14ac:dyDescent="0.25">
      <c r="A11" s="50" t="s">
        <v>62</v>
      </c>
      <c r="B11" s="50" t="s">
        <v>1220</v>
      </c>
      <c r="C11" s="50" t="s">
        <v>1202</v>
      </c>
      <c r="D11" s="50" t="s">
        <v>1212</v>
      </c>
      <c r="E11" s="50" t="s">
        <v>75</v>
      </c>
      <c r="F11" s="50" t="s">
        <v>1221</v>
      </c>
    </row>
    <row r="12" spans="1:6" ht="36" customHeight="1" x14ac:dyDescent="0.25">
      <c r="A12" s="50" t="s">
        <v>63</v>
      </c>
      <c r="B12" s="50" t="s">
        <v>1222</v>
      </c>
      <c r="C12" s="50" t="s">
        <v>1202</v>
      </c>
      <c r="D12" s="50" t="s">
        <v>1223</v>
      </c>
      <c r="E12" s="50" t="s">
        <v>76</v>
      </c>
      <c r="F12" s="50" t="s">
        <v>1224</v>
      </c>
    </row>
    <row r="13" spans="1:6" ht="36" customHeight="1" x14ac:dyDescent="0.25">
      <c r="A13" s="50" t="s">
        <v>64</v>
      </c>
      <c r="B13" s="50" t="s">
        <v>1225</v>
      </c>
      <c r="C13" s="50" t="s">
        <v>1226</v>
      </c>
      <c r="D13" s="50" t="s">
        <v>1227</v>
      </c>
      <c r="E13" s="52">
        <v>1</v>
      </c>
      <c r="F13" s="50" t="s">
        <v>1228</v>
      </c>
    </row>
    <row r="14" spans="1:6" ht="36" customHeight="1" x14ac:dyDescent="0.25">
      <c r="A14" s="50" t="s">
        <v>65</v>
      </c>
      <c r="B14" s="50" t="s">
        <v>1229</v>
      </c>
      <c r="C14" s="50" t="s">
        <v>1230</v>
      </c>
      <c r="D14" s="50" t="s">
        <v>1231</v>
      </c>
      <c r="E14" s="53">
        <v>25.64</v>
      </c>
      <c r="F14" s="50" t="s">
        <v>1232</v>
      </c>
    </row>
    <row r="15" spans="1:6" ht="36" customHeight="1" x14ac:dyDescent="0.25">
      <c r="A15" s="50" t="s">
        <v>66</v>
      </c>
      <c r="B15" s="50" t="s">
        <v>1233</v>
      </c>
      <c r="C15" s="50" t="s">
        <v>1230</v>
      </c>
      <c r="D15" s="50" t="s">
        <v>1234</v>
      </c>
      <c r="E15" s="53">
        <v>25.64</v>
      </c>
      <c r="F15" s="50" t="s">
        <v>1235</v>
      </c>
    </row>
    <row r="16" spans="1:6" ht="36" customHeight="1" x14ac:dyDescent="0.25">
      <c r="A16" s="50" t="s">
        <v>67</v>
      </c>
      <c r="B16" s="50" t="s">
        <v>1236</v>
      </c>
      <c r="C16" s="50" t="s">
        <v>1230</v>
      </c>
      <c r="D16" s="50" t="s">
        <v>1234</v>
      </c>
      <c r="E16" s="53">
        <v>14.37</v>
      </c>
      <c r="F16" s="50" t="s">
        <v>1237</v>
      </c>
    </row>
    <row r="17" spans="1:6" ht="36" customHeight="1" x14ac:dyDescent="0.25">
      <c r="A17" s="50" t="s">
        <v>68</v>
      </c>
      <c r="B17" s="50" t="s">
        <v>1238</v>
      </c>
      <c r="C17" s="50" t="s">
        <v>1230</v>
      </c>
      <c r="D17" s="50" t="s">
        <v>1234</v>
      </c>
      <c r="E17" s="53">
        <v>11.27</v>
      </c>
      <c r="F17" s="50" t="s">
        <v>1239</v>
      </c>
    </row>
    <row r="18" spans="1:6" ht="36" customHeight="1" x14ac:dyDescent="0.25">
      <c r="A18" s="50" t="s">
        <v>69</v>
      </c>
      <c r="B18" s="50" t="s">
        <v>1240</v>
      </c>
      <c r="C18" s="50" t="s">
        <v>1202</v>
      </c>
      <c r="D18" s="50" t="s">
        <v>1241</v>
      </c>
      <c r="E18" s="50" t="s">
        <v>77</v>
      </c>
      <c r="F18" s="50" t="s">
        <v>1242</v>
      </c>
    </row>
    <row r="19" spans="1:6" ht="36" customHeight="1" x14ac:dyDescent="0.25">
      <c r="A19" s="50" t="s">
        <v>70</v>
      </c>
      <c r="B19" s="50" t="s">
        <v>1243</v>
      </c>
      <c r="C19" s="50" t="s">
        <v>1202</v>
      </c>
      <c r="D19" s="50" t="s">
        <v>1241</v>
      </c>
      <c r="E19" s="50" t="s">
        <v>78</v>
      </c>
      <c r="F19" s="50" t="s">
        <v>1244</v>
      </c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4" t="s">
        <v>1245</v>
      </c>
      <c r="B22" s="5"/>
      <c r="C22" s="5"/>
      <c r="D22" s="5"/>
      <c r="E22" s="5"/>
      <c r="F22" s="6"/>
    </row>
    <row r="23" spans="1:6" ht="42" customHeight="1" x14ac:dyDescent="0.25">
      <c r="A23" s="111" t="s">
        <v>1246</v>
      </c>
      <c r="B23" s="112"/>
      <c r="C23" s="112"/>
      <c r="D23" s="112"/>
      <c r="E23" s="112"/>
      <c r="F23" s="113"/>
    </row>
  </sheetData>
  <mergeCells count="1">
    <mergeCell ref="A23:F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Raw Data</vt:lpstr>
      <vt:lpstr>Analysis</vt:lpstr>
      <vt:lpstr>Dashboard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Sahni</dc:creator>
  <cp:lastModifiedBy>Taran Sahni</cp:lastModifiedBy>
  <dcterms:created xsi:type="dcterms:W3CDTF">2026-09-28T13:46:06Z</dcterms:created>
  <dcterms:modified xsi:type="dcterms:W3CDTF">2026-10-04T14:07:43Z</dcterms:modified>
</cp:coreProperties>
</file>